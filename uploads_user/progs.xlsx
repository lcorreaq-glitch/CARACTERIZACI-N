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4061c6a75aa568f/2026/IUD/CARACTERIZACIONES/2026-2/DATOS_AJSUTADO/"/>
    </mc:Choice>
  </mc:AlternateContent>
  <xr:revisionPtr revIDLastSave="0" documentId="14_{9BA383DD-35B1-419B-8211-97FB3713D5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2" sheetId="3" r:id="rId1"/>
    <sheet name="Hoja3" sheetId="4" r:id="rId2"/>
    <sheet name="Hoja1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" i="4"/>
</calcChain>
</file>

<file path=xl/sharedStrings.xml><?xml version="1.0" encoding="utf-8"?>
<sst xmlns="http://schemas.openxmlformats.org/spreadsheetml/2006/main" count="1211" uniqueCount="277">
  <si>
    <t>CÓDIGO_INSTITUCIÓN_PADRE</t>
  </si>
  <si>
    <t>CÓDIGO_INSTITUCIÓN</t>
  </si>
  <si>
    <t>NOMBRE_INSTITUCIÓN</t>
  </si>
  <si>
    <t>ESTADO_INSTITUCIÓN</t>
  </si>
  <si>
    <t>CARÁCTER_ACADÉMICO</t>
  </si>
  <si>
    <t>SECTOR</t>
  </si>
  <si>
    <t>REGISTRO_UNICO</t>
  </si>
  <si>
    <t>CÓDIGO_SNIES_DEL_PROGRAMA</t>
  </si>
  <si>
    <t>CÓDIGO_ANTERIOR_ICFES</t>
  </si>
  <si>
    <t>NOMBRE_DEL_PROGRAMA</t>
  </si>
  <si>
    <t>TITULO_OTORGADO</t>
  </si>
  <si>
    <t>ESTADO_PROGRAMA</t>
  </si>
  <si>
    <t>JUSTIFICACION</t>
  </si>
  <si>
    <t>JUSTIFICACION_DETALLADA</t>
  </si>
  <si>
    <t>RECONOCIMIENTO_DEL_MINISTERIO</t>
  </si>
  <si>
    <t>RESOLUCIÓN_DE_APROBACIÓN</t>
  </si>
  <si>
    <t>FECHA_DE_RESOLUCIÓN</t>
  </si>
  <si>
    <t>FECHA_EJECUTORIA</t>
  </si>
  <si>
    <t>VIGENCIA_AÑOS</t>
  </si>
  <si>
    <t>FECHA_DE_REGISTRO_EN_SNIES</t>
  </si>
  <si>
    <t>CINE_F_2013_AC_CAMPO_AMPLIO</t>
  </si>
  <si>
    <t>CINE_F_2013_AC_CAMPO_ESPECÍFIC</t>
  </si>
  <si>
    <t>CINE_F_2013_AC_CAMPO_DETALLADO</t>
  </si>
  <si>
    <t>ÁREA_DE_CONOCIMIENTO</t>
  </si>
  <si>
    <t>NÚCLEO_BÁSICO_DEL_CONOCIMIENTO</t>
  </si>
  <si>
    <t>NIVEL_ACADÉMICO</t>
  </si>
  <si>
    <t>NIVEL_DE_FORMACIÓN</t>
  </si>
  <si>
    <t>MODALIDAD</t>
  </si>
  <si>
    <t>NÚMERO_CRÉDITOS</t>
  </si>
  <si>
    <t>NÚMERO_PERIODOS_DE_DURACIÓN</t>
  </si>
  <si>
    <t>PERIODICIDAD</t>
  </si>
  <si>
    <t>SE_OFRECE_POR_CICLOS_PROPEDÉUT</t>
  </si>
  <si>
    <t>PERIODICIDAD_ADMISIONES</t>
  </si>
  <si>
    <t>PROGRAMA_EN_CONVENIO</t>
  </si>
  <si>
    <t>DEPARTAMENTO_OFERTA_PROGRAMA</t>
  </si>
  <si>
    <t>MUNICIPIO_OFERTA_PROGRAMA</t>
  </si>
  <si>
    <t>COSTO_MATRÍCULA_ESTUD_NUEVOS</t>
  </si>
  <si>
    <t>VIGENCIA TRANSITORIA</t>
  </si>
  <si>
    <t>OBSERVACIÓN DECRETO 1174/23</t>
  </si>
  <si>
    <t>9927</t>
  </si>
  <si>
    <t>INSTITUCION UNIVERSITARIA DIGITAL DE ANTIOQUIA -IU. DIGITAL</t>
  </si>
  <si>
    <t>Activa</t>
  </si>
  <si>
    <t>Institución Universitaria/Escuela Tecnológica</t>
  </si>
  <si>
    <t>Oficial</t>
  </si>
  <si>
    <t>108384</t>
  </si>
  <si>
    <t>ADMINISTRACIÓN DE EMPRESAS</t>
  </si>
  <si>
    <t>ADMINISTRADOR DE EMPRESAS</t>
  </si>
  <si>
    <t>Activo</t>
  </si>
  <si>
    <t>Registro calificado</t>
  </si>
  <si>
    <t>7</t>
  </si>
  <si>
    <t>Administración de Empresas y Derecho</t>
  </si>
  <si>
    <t>Educación comercial y administración</t>
  </si>
  <si>
    <t>Gestión y administración</t>
  </si>
  <si>
    <t>Economía, administración, contaduría y afines</t>
  </si>
  <si>
    <t>Administración</t>
  </si>
  <si>
    <t>Pregrado</t>
  </si>
  <si>
    <t>Universitario</t>
  </si>
  <si>
    <t>Virtual</t>
  </si>
  <si>
    <t>Semestral</t>
  </si>
  <si>
    <t>No</t>
  </si>
  <si>
    <t>N</t>
  </si>
  <si>
    <t>Antioquia</t>
  </si>
  <si>
    <t>Medellín</t>
  </si>
  <si>
    <t>107947</t>
  </si>
  <si>
    <t>ADMINISTRACIÓN DE EMPRESAS TURÍSTICAS Y HOTELERAS</t>
  </si>
  <si>
    <t>ADMINISTRADOR DE EMPRESAS TURÍSTICAS Y HOTELERAS</t>
  </si>
  <si>
    <t>109042</t>
  </si>
  <si>
    <t>ADMINISTRACIÓN EN SEGURIDAD Y SALUD EN EL TRABAJO</t>
  </si>
  <si>
    <t>ADMINISTRADOR EN SEGURIDAD Y SALUD EN EL TRABAJO</t>
  </si>
  <si>
    <t>109345</t>
  </si>
  <si>
    <t>CIENCIAS AMBIENTALES</t>
  </si>
  <si>
    <t>PROFESIONAL EN CIENCIAS AMBIENTALES</t>
  </si>
  <si>
    <t>Ciencias Naturales, Matemáticas y Estadística</t>
  </si>
  <si>
    <t>Medio ambiente</t>
  </si>
  <si>
    <t>Ciencias del medio ambiente</t>
  </si>
  <si>
    <t>Ingeniería, arquitectura, urbanismo y afines</t>
  </si>
  <si>
    <t>Ingeniería ambiental, sanitaria y afines</t>
  </si>
  <si>
    <t>109937</t>
  </si>
  <si>
    <t>ESPECIALIZACIÓN EN ANÁLITICA Y  BIG DATA</t>
  </si>
  <si>
    <t>ESPECIALISTA EN ANÁLITICA Y BIG DATA</t>
  </si>
  <si>
    <t>Tecnologías de la Información y la Comunicación (TIC)</t>
  </si>
  <si>
    <t>Diseño y administración de redes y bases de datos</t>
  </si>
  <si>
    <t>Ingeniería de sistemas, telemática y afines</t>
  </si>
  <si>
    <t>Posgrado</t>
  </si>
  <si>
    <t>Especialización universitaria</t>
  </si>
  <si>
    <t>Trimestral</t>
  </si>
  <si>
    <t>108268</t>
  </si>
  <si>
    <t>ESPECIALIZACIÓN EN FORMULACIÓN Y EVALUACIÓN DE PROYECTOS</t>
  </si>
  <si>
    <t>ESPECIALISTA EN FORMULACIÓN Y EVALUACIÓN DE PROYECTOS</t>
  </si>
  <si>
    <t>Ciencias Sociales, Periodismo e Información</t>
  </si>
  <si>
    <t>Programas y certificaciones interdisciplinarios relativos a ciencias sociales, periodismo e información</t>
  </si>
  <si>
    <t>Especialista en Gerencia de la Seguridad y Salud en el Trabajo</t>
  </si>
  <si>
    <t>Sin información</t>
  </si>
  <si>
    <t>Sin clasificar</t>
  </si>
  <si>
    <t>Especialista en Gestión Ambiental para el Desarrollo Territorial Sostenible</t>
  </si>
  <si>
    <t>Matemáticas y ciencias naturales</t>
  </si>
  <si>
    <t>Geología, otros programas de ciencias naturales</t>
  </si>
  <si>
    <t>111115</t>
  </si>
  <si>
    <t>ESPECIALIZACIÓN EN INOCUIDAD AGROALIMENTARIA</t>
  </si>
  <si>
    <t>ESPECIALISTA EN INOCUIDAD AGROALIMENTARIA</t>
  </si>
  <si>
    <t>Ingeniería, Industria y Construcción</t>
  </si>
  <si>
    <t>Industria y procesamiento</t>
  </si>
  <si>
    <t>Procesamiento de alimentos</t>
  </si>
  <si>
    <t>Ingeniería agroindustrial, alimentos y afines</t>
  </si>
  <si>
    <t>107960</t>
  </si>
  <si>
    <t>ESPECIALIZACIÓN EN PROGRAMACIÓN APLICADA</t>
  </si>
  <si>
    <t>ESPECIALISTA EN PROGRAMACIÓN APLICADA</t>
  </si>
  <si>
    <t>Desarrollo y análisis de software y aplicaciones</t>
  </si>
  <si>
    <t>Especialista en Tecnologías Digitales para el Aprendizaje</t>
  </si>
  <si>
    <t>Educación</t>
  </si>
  <si>
    <t>Ciencias de la educación</t>
  </si>
  <si>
    <t>Ingeniera (o) de Software y Datos</t>
  </si>
  <si>
    <t>Ingeniero/a en Desarrollo Territorial</t>
  </si>
  <si>
    <t>Programas y certificaciones interdisciplinarios relativos a ingeniería, industria y construcción</t>
  </si>
  <si>
    <t>Periodos</t>
  </si>
  <si>
    <t>109615</t>
  </si>
  <si>
    <t>INGENIERÍA MECATRÓNICA</t>
  </si>
  <si>
    <t>INGENIERO MECATRÓNICO</t>
  </si>
  <si>
    <t>Ingeniería y profesiones afines</t>
  </si>
  <si>
    <t>Electrónica y automatización</t>
  </si>
  <si>
    <t>Ingeniería mecánica y afines</t>
  </si>
  <si>
    <t>Licenciado(a) en Educación Básica Primaria</t>
  </si>
  <si>
    <t>Formación para docentes sin asignatura de especialización</t>
  </si>
  <si>
    <t>108269</t>
  </si>
  <si>
    <t>PUBLICIDAD Y MERCADEO DIGITAL</t>
  </si>
  <si>
    <t>PROFESIONAL EN PUBLICIDAD Y MERCADEO DIGITAL</t>
  </si>
  <si>
    <t>Mercadotecnia y publicidad</t>
  </si>
  <si>
    <t>Bellas artes</t>
  </si>
  <si>
    <t>Publicidad y afines</t>
  </si>
  <si>
    <t>109852</t>
  </si>
  <si>
    <t>TECNOLOGÍA EN DESARROLLO COMUNITARIO</t>
  </si>
  <si>
    <t>TECNÓLOGO EN DESARROLLO COMUNITARIO</t>
  </si>
  <si>
    <t>Ciencias sociales y del comportamiento</t>
  </si>
  <si>
    <t>Ciencias sociales y del comportamiento no clasificadas en otra parte</t>
  </si>
  <si>
    <t>Ciencias sociales y humanas</t>
  </si>
  <si>
    <t>Sociología, trabajo social y afines</t>
  </si>
  <si>
    <t>Tecnológico</t>
  </si>
  <si>
    <t>Bimensual</t>
  </si>
  <si>
    <t>107611</t>
  </si>
  <si>
    <t>TECNOLOGÍA EN DESARROLLO DE SOFTWARE</t>
  </si>
  <si>
    <t>TECNÓLOGO EN DESARROLLO DE SOFTWARE</t>
  </si>
  <si>
    <t>Tecnólogo(a) en Gestión Administrativa</t>
  </si>
  <si>
    <t>109194</t>
  </si>
  <si>
    <t>TECNOLOGIA EN GESTION CATASTRAL Y AGRIMENSURA</t>
  </si>
  <si>
    <t>TECNOLOGO EN GESTION CATASTRAL Y AGRIMENSURA</t>
  </si>
  <si>
    <t>Arquitectura y construcción</t>
  </si>
  <si>
    <t>Construcción e ingeniería civil</t>
  </si>
  <si>
    <t>Ingeniería civil y afines</t>
  </si>
  <si>
    <t>110915</t>
  </si>
  <si>
    <t>TECNOLOGÍA EN GESTIÓN COMERCIAL AGROEMPRESARIAL</t>
  </si>
  <si>
    <t>TECNÓLOGO EN GESTIÓN COMERCIAL AGROEMPRESARIAL</t>
  </si>
  <si>
    <t>Ventas al por mayor y al por menor</t>
  </si>
  <si>
    <t>Tecnólogo(a) en Gestión Logística Portuaria y del Transporte</t>
  </si>
  <si>
    <t>109941</t>
  </si>
  <si>
    <t>TRABAJO SOCIAL</t>
  </si>
  <si>
    <t>TRABAJADOR SOCIAL</t>
  </si>
  <si>
    <t>Trabajo social</t>
  </si>
  <si>
    <t>NOTA:</t>
  </si>
  <si>
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</si>
  <si>
    <t>programa</t>
  </si>
  <si>
    <t>Diplomado Sistemas Integrados de Gestión 2026 - Extensión Académica - Cerrado</t>
  </si>
  <si>
    <t>LICENCIATURA EN EDUCACIÓN BÁSICA PRIMARIA</t>
  </si>
  <si>
    <t>ESPECIALIZACIÓN EN GERENCIA DE LA SEGURIDAD Y SALUD EN EL TRABAJO</t>
  </si>
  <si>
    <t>TECNOLOGÍA EN GESTIÓN LOGÍSTICA PORTUARIA Y DEL TRANSPORTE</t>
  </si>
  <si>
    <t>INGENIERÍA EN DESARROLLO TERRITORIAL</t>
  </si>
  <si>
    <t>INGENIERÍA DE SOFTWARE Y DATOS</t>
  </si>
  <si>
    <t>TECNOLOGÍA EN GESTIÓN ADMINISTRATIVA</t>
  </si>
  <si>
    <t>Curso de inducción de la gobernación de Antioquia - Extensión Académica - Cerrado 2026</t>
  </si>
  <si>
    <t>DERECHO</t>
  </si>
  <si>
    <t>Diplomado Ciberseguridad-ISD 2026 - FICA</t>
  </si>
  <si>
    <t>Diplomado en Administración Pública - Consejeros Municipales de Juventud de Guarne</t>
  </si>
  <si>
    <t>Diplomado en Formulación y Evaluación de Proyectos - Consejeros Municipales de Juventud de Guarne</t>
  </si>
  <si>
    <t>Diplomado Responsabilidad Social Empresarial - Administración de empresas 2026 - FCEAC - 1</t>
  </si>
  <si>
    <t>INGLÉS 5 (INGLÉS FUERA DE LA MALLA 2026-1 B2)</t>
  </si>
  <si>
    <t>INGLÉS 4 (INGLÉS FUERA DE LA MALLA 2026-1 B1)</t>
  </si>
  <si>
    <t>Diplomado en Competencias Digitales 2026 -  Extensión Académica Abierto</t>
  </si>
  <si>
    <t>Curso Marketing Verde 2026 - Extensión académica Egresados</t>
  </si>
  <si>
    <t>INGLÉS 2 (INGLÉS FUERA DE LA MALLA 2026-1 B2)</t>
  </si>
  <si>
    <t>Curso Gestión Talento Humano  2026 - Extensión académica Egresados</t>
  </si>
  <si>
    <t>INGLÉS 1 (INGLÉS FUERA DE LA MALLA 2026-1 B2)</t>
  </si>
  <si>
    <t>INGLÉS 3 (INGLÉS FUERA DE LA MALLA 2026-1 B2)</t>
  </si>
  <si>
    <t>Curso Introducción al Diseño y Ejecución de Proyectos 2026 - Extensión académica Egresados</t>
  </si>
  <si>
    <t>Curso Producto Turístico 2026 - Extensión académica Egresados</t>
  </si>
  <si>
    <t>Curso Marketing Digital 2026 - Extensión académica Egresados</t>
  </si>
  <si>
    <t>Curso Herramientas TIC para la Educación 2026 - Extensión académica Egresados</t>
  </si>
  <si>
    <t>Curso Servicio al Cliente 2026 - Extensión académica Egresados</t>
  </si>
  <si>
    <t>Curso Acercamiento a las Intervenciones Psicosociales 2026 - Extensión académica Egresados</t>
  </si>
  <si>
    <t>Curso Introducción a la Horticultura 2026  - Extensión académica Egresados</t>
  </si>
  <si>
    <t>Curso Fotografia Básica 2026 - Extensión académica Egresados</t>
  </si>
  <si>
    <t>Curso Introducción al Diseño Instruccional 2026 - Extensión académica Egresados</t>
  </si>
  <si>
    <t>Curso Introducción al Turismo 2026 - Extensión académica Egresados</t>
  </si>
  <si>
    <t>Curso Introducción a la Nanotecnología 2026 - Extensión académica Egresados</t>
  </si>
  <si>
    <t>Curso Introducción a la Agronomía 2026 - Extensión académica Egresados</t>
  </si>
  <si>
    <t>Curso Introducción a la Industria del Cannabis Medicinal 2026 - Extensión académica Egresados</t>
  </si>
  <si>
    <t>Curso Catastro Multipropósito 2026 - Extensión académica Egresados</t>
  </si>
  <si>
    <t>Curso Habilidades Comunicativas 2026 - Extensión académica Egresados</t>
  </si>
  <si>
    <t>Curso Photoshop para Principiantes 2026 - Extensión académica Egresados</t>
  </si>
  <si>
    <t>Curso Retos de Aprendizaje en Primera Infancia 2026 - Extension Academica  Egresados</t>
  </si>
  <si>
    <t>Curso Básico Herramientas Adobe Illustrator 2026 - Extensión académica Egresados</t>
  </si>
  <si>
    <t>Curso Informática Básica 2026 - Extension Curso Informática Básica 2026 - Extensión académica Egresados Egresados</t>
  </si>
  <si>
    <t>Diplomado Docencia Universitaria 2026- Extensión Académica Abierto</t>
  </si>
  <si>
    <t>Administración De Empresas</t>
  </si>
  <si>
    <t>Administración De Empresas Turísticas Y Hoteleras</t>
  </si>
  <si>
    <t>Administración En Seguridad Y Salud En El Trabajo</t>
  </si>
  <si>
    <t>Ciencias Ambientales</t>
  </si>
  <si>
    <t>Especialización En Formulación Y Evaluación De Proyectos</t>
  </si>
  <si>
    <t>Especialización En Gerencia De La Seguridad Y Salud En El Trabajo</t>
  </si>
  <si>
    <t>Especialización En Gestión Ambiental Para El Desarrollo Territorial Sostenible</t>
  </si>
  <si>
    <t>Especialización En Inocuidad Agroalimentaria</t>
  </si>
  <si>
    <t>Especialización En Programación Aplicada</t>
  </si>
  <si>
    <t>Especialización En Tecnologías Digitales Para El Aprendizaje</t>
  </si>
  <si>
    <t>Ingeniería De Software Y Datos</t>
  </si>
  <si>
    <t>Ingeniería En Desarrollo Territorial</t>
  </si>
  <si>
    <t>Ingeniería Mecatrónica</t>
  </si>
  <si>
    <t>Licenciatura En Educación Básica Primaria</t>
  </si>
  <si>
    <t>Publicidad Y Mercadeo Digital</t>
  </si>
  <si>
    <t>Tecnología En Desarrollo Comunitario</t>
  </si>
  <si>
    <t>Tecnología En Desarrollo De Software</t>
  </si>
  <si>
    <t>Tecnología En Gestión Administrativa</t>
  </si>
  <si>
    <t>Tecnologia En Gestion Catastral Y Agrimensura</t>
  </si>
  <si>
    <t>Tecnología En Gestión Comercial Agroempresarial</t>
  </si>
  <si>
    <t>Tecnología En Gestión Logística Portuaria Y Del Transporte</t>
  </si>
  <si>
    <t>Trabajo Social</t>
  </si>
  <si>
    <t>FACULTAD</t>
  </si>
  <si>
    <t>NOMBRE_CORTO_FAC</t>
  </si>
  <si>
    <t>NOMBRE_CORTO</t>
  </si>
  <si>
    <t>Facultad de Ciencias Económicas Administrativas y Contables (FCEAC)</t>
  </si>
  <si>
    <t>FCEAC</t>
  </si>
  <si>
    <t>AE</t>
  </si>
  <si>
    <t>AETH</t>
  </si>
  <si>
    <t>ASST</t>
  </si>
  <si>
    <t>Facultad de Ciencias y Humanidades (FCyH)</t>
  </si>
  <si>
    <t>FCyH</t>
  </si>
  <si>
    <t>CA</t>
  </si>
  <si>
    <t>Facultad de Ingeniería y Ciencias Agropecuarias (FICA)</t>
  </si>
  <si>
    <t>FICA</t>
  </si>
  <si>
    <t>Especialización En Análitica Y Big Data</t>
  </si>
  <si>
    <t>EABD</t>
  </si>
  <si>
    <t>EEFP</t>
  </si>
  <si>
    <t>EGSST</t>
  </si>
  <si>
    <t>EGADTS</t>
  </si>
  <si>
    <t>EIA</t>
  </si>
  <si>
    <t>EPA</t>
  </si>
  <si>
    <t>Facultad de Educación (FE)</t>
  </si>
  <si>
    <t>FE</t>
  </si>
  <si>
    <t>ETDA</t>
  </si>
  <si>
    <t>IDS</t>
  </si>
  <si>
    <t>IDT</t>
  </si>
  <si>
    <t>IM</t>
  </si>
  <si>
    <t>LEBP</t>
  </si>
  <si>
    <t>PMD</t>
  </si>
  <si>
    <t>TDC</t>
  </si>
  <si>
    <t>TDS</t>
  </si>
  <si>
    <t>TGA</t>
  </si>
  <si>
    <t>TGCA</t>
  </si>
  <si>
    <t>TGCAE</t>
  </si>
  <si>
    <t>TGLPT</t>
  </si>
  <si>
    <t>TS</t>
  </si>
  <si>
    <t>COMUNICACIÓN Y PERIODISMO DIGITAL</t>
  </si>
  <si>
    <t>Comunicador y Periodista Digital</t>
  </si>
  <si>
    <t>Periodismo e información</t>
  </si>
  <si>
    <t>Periodismo, comunicación y reportajes</t>
  </si>
  <si>
    <t>Comunicación social, periodismo y afines</t>
  </si>
  <si>
    <t>Abogado - Abogada</t>
  </si>
  <si>
    <t>Derecho</t>
  </si>
  <si>
    <t>Derecho y afines</t>
  </si>
  <si>
    <t>ESPECIALIZACIÓN EN GESTIÓN AMBIENTAL PARA EL DESARROLLO TERRITORIAL SOSTENIBLE</t>
  </si>
  <si>
    <t>ESPECIALIZACIÓN EN TECNOLOGÍAS DIGITALES PARA EL APRENDIZAJE</t>
  </si>
  <si>
    <t>CPD</t>
  </si>
  <si>
    <t>DE</t>
  </si>
  <si>
    <t>Comunicación y Periodismo Digital</t>
  </si>
  <si>
    <t xml:space="preserve">Extensión </t>
  </si>
  <si>
    <t>Inglés 1 (Inglés Fuera De La Malla 2026-1 B2)</t>
  </si>
  <si>
    <t>Inglés 2 (Inglés Fuera De La Malla 2026-1 B2)</t>
  </si>
  <si>
    <t>Inglés 3 (Inglés Fuera De La Malla 2026-1 B2)</t>
  </si>
  <si>
    <t>Inglés 4 (Inglés Fuera De La Malla 2026-1 B1)</t>
  </si>
  <si>
    <t>Inglés 5 (Inglés Fuera De La Malla 2026-1 B2)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</si>
</sst>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7" x14ac:knownFonts="1">
    <font>
      <sz val="11"/>
      <color indexed="8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indexed="9"/>
      <name val="Calibri"/>
      <family val="2"/>
    </font>
    <font>
      <b/>
      <sz val="9"/>
      <color rgb="FFFFFFFF"/>
      <name val="Calibri"/>
      <family val="2"/>
    </font>
    <font>
      <sz val="9"/>
      <color indexed="8"/>
      <name val="Aptos Narrow"/>
      <family val="2"/>
      <scheme val="minor"/>
    </font>
    <font>
      <sz val="9"/>
      <color indexed="8"/>
      <name val="Aptos Narrow"/>
      <family val="2"/>
    </font>
    <font>
      <sz val="9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4674C1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9.9978637043366805E-2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 applyAlignment="1">
      <alignment horizontal="right"/>
    </xf>
    <xf numFmtId="0" fontId="1" fillId="3" borderId="0" xfId="0" applyFont="1" applyFill="1"/>
    <xf numFmtId="0" fontId="2" fillId="2" borderId="0" xfId="0" applyFont="1" applyFill="1"/>
    <xf numFmtId="0" fontId="3" fillId="5" borderId="2" xfId="0" applyFont="1" applyFill="1" applyBorder="1" applyAlignment="1">
      <alignment wrapText="1"/>
    </xf>
    <xf numFmtId="0" fontId="4" fillId="0" borderId="0" xfId="0" applyFont="1"/>
    <xf numFmtId="0" fontId="5" fillId="0" borderId="2" xfId="0" applyFont="1" applyBorder="1" applyAlignment="1">
      <alignment horizontal="right" wrapText="1"/>
    </xf>
    <xf numFmtId="0" fontId="6" fillId="0" borderId="2" xfId="0" applyFont="1" applyBorder="1" applyAlignment="1">
      <alignment wrapText="1"/>
    </xf>
    <xf numFmtId="0" fontId="5" fillId="0" borderId="2" xfId="0" applyFont="1" applyBorder="1" applyAlignment="1">
      <alignment wrapText="1"/>
    </xf>
    <xf numFmtId="14" fontId="5" fillId="0" borderId="2" xfId="0" applyNumberFormat="1" applyFont="1" applyBorder="1" applyAlignment="1">
      <alignment horizontal="right" wrapText="1"/>
    </xf>
    <xf numFmtId="0" fontId="5" fillId="4" borderId="2" xfId="0" applyFont="1" applyFill="1" applyBorder="1" applyAlignment="1">
      <alignment wrapText="1"/>
    </xf>
    <xf numFmtId="0" fontId="6" fillId="0" borderId="2" xfId="0" applyFont="1" applyBorder="1" applyAlignment="1">
      <alignment horizontal="right" wrapText="1"/>
    </xf>
    <xf numFmtId="0" fontId="4" fillId="0" borderId="2" xfId="0" applyFont="1" applyBorder="1"/>
    <xf numFmtId="164" fontId="4" fillId="0" borderId="2" xfId="0" applyNumberFormat="1" applyFont="1" applyBorder="1" applyAlignment="1">
      <alignment horizontal="right"/>
    </xf>
    <xf numFmtId="0" fontId="6" fillId="0" borderId="3" xfId="0" applyFont="1" applyBorder="1" applyAlignment="1">
      <alignment wrapText="1"/>
    </xf>
    <xf numFmtId="0" fontId="6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7C281-0E04-45D5-A554-2ACC9D0743EE}">
  <dimension ref="A1:Z1000"/>
  <sheetViews>
    <sheetView tabSelected="1" workbookViewId="0">
      <selection sqref="A1:XFD1048576"/>
    </sheetView>
  </sheetViews>
  <sheetFormatPr baseColWidth="10" defaultRowHeight="12" x14ac:dyDescent="0.25"/>
  <cols>
    <col min="1" max="25" width="11.5546875" style="5"/>
    <col min="27" max="16384" width="11.5546875" style="5"/>
  </cols>
  <sheetData>
    <row r="1" spans="1:25" s="5" customFormat="1" ht="36" x14ac:dyDescent="0.25">
      <c r="A1" s="4" t="s">
        <v>7</v>
      </c>
      <c r="B1" s="4" t="s">
        <v>8</v>
      </c>
      <c r="C1" s="4" t="s">
        <v>223</v>
      </c>
      <c r="D1" s="4" t="s">
        <v>224</v>
      </c>
      <c r="E1" s="4" t="s">
        <v>9</v>
      </c>
      <c r="F1" s="4" t="s">
        <v>225</v>
      </c>
      <c r="G1" s="4" t="s">
        <v>11</v>
      </c>
      <c r="H1" s="4" t="s">
        <v>15</v>
      </c>
      <c r="I1" s="4" t="s">
        <v>16</v>
      </c>
      <c r="J1" s="4" t="s">
        <v>17</v>
      </c>
      <c r="K1" s="4" t="s">
        <v>18</v>
      </c>
      <c r="L1" s="4" t="s">
        <v>19</v>
      </c>
      <c r="M1" s="4" t="s">
        <v>20</v>
      </c>
      <c r="N1" s="4" t="s">
        <v>21</v>
      </c>
      <c r="O1" s="4" t="s">
        <v>22</v>
      </c>
      <c r="P1" s="4" t="s">
        <v>23</v>
      </c>
      <c r="Q1" s="4" t="s">
        <v>24</v>
      </c>
      <c r="R1" s="4" t="s">
        <v>25</v>
      </c>
      <c r="S1" s="4" t="s">
        <v>26</v>
      </c>
      <c r="T1" s="4" t="s">
        <v>27</v>
      </c>
      <c r="U1" s="4" t="s">
        <v>28</v>
      </c>
      <c r="V1" s="4" t="s">
        <v>29</v>
      </c>
      <c r="W1" s="4" t="s">
        <v>30</v>
      </c>
      <c r="X1" s="4" t="s">
        <v>31</v>
      </c>
      <c r="Y1" s="4" t="s">
        <v>32</v>
      </c>
    </row>
    <row r="2" spans="1:25" s="5" customFormat="1" ht="69" x14ac:dyDescent="0.25">
      <c r="A2" s="6">
        <v>108384</v>
      </c>
      <c r="B2" s="6">
        <v>108384</v>
      </c>
      <c r="C2" s="7" t="s">
        <v>226</v>
      </c>
      <c r="D2" s="7" t="s">
        <v>227</v>
      </c>
      <c r="E2" s="7" t="s">
        <v>201</v>
      </c>
      <c r="F2" s="7" t="s">
        <v>228</v>
      </c>
      <c r="G2" s="8" t="s">
        <v>47</v>
      </c>
      <c r="H2" s="6">
        <v>10430</v>
      </c>
      <c r="I2" s="9">
        <v>43740</v>
      </c>
      <c r="J2" s="9">
        <v>43740</v>
      </c>
      <c r="K2" s="6">
        <v>7</v>
      </c>
      <c r="L2" s="9">
        <v>43740</v>
      </c>
      <c r="M2" s="8" t="s">
        <v>50</v>
      </c>
      <c r="N2" s="8" t="s">
        <v>51</v>
      </c>
      <c r="O2" s="8" t="s">
        <v>52</v>
      </c>
      <c r="P2" s="8" t="s">
        <v>53</v>
      </c>
      <c r="Q2" s="8" t="s">
        <v>54</v>
      </c>
      <c r="R2" s="8" t="s">
        <v>55</v>
      </c>
      <c r="S2" s="8" t="s">
        <v>56</v>
      </c>
      <c r="T2" s="8" t="s">
        <v>57</v>
      </c>
      <c r="U2" s="6">
        <v>140</v>
      </c>
      <c r="V2" s="6">
        <v>8</v>
      </c>
      <c r="W2" s="8" t="s">
        <v>58</v>
      </c>
      <c r="X2" s="8" t="s">
        <v>59</v>
      </c>
      <c r="Y2" s="8" t="s">
        <v>58</v>
      </c>
    </row>
    <row r="3" spans="1:25" s="5" customFormat="1" ht="69" x14ac:dyDescent="0.25">
      <c r="A3" s="6">
        <v>107947</v>
      </c>
      <c r="B3" s="6">
        <v>107947</v>
      </c>
      <c r="C3" s="7" t="s">
        <v>226</v>
      </c>
      <c r="D3" s="7" t="s">
        <v>227</v>
      </c>
      <c r="E3" s="7" t="s">
        <v>202</v>
      </c>
      <c r="F3" s="7" t="s">
        <v>229</v>
      </c>
      <c r="G3" s="8" t="s">
        <v>47</v>
      </c>
      <c r="H3" s="6">
        <v>4251</v>
      </c>
      <c r="I3" s="9">
        <v>43580</v>
      </c>
      <c r="J3" s="9">
        <v>43580</v>
      </c>
      <c r="K3" s="6">
        <v>7</v>
      </c>
      <c r="L3" s="9">
        <v>43591</v>
      </c>
      <c r="M3" s="8" t="s">
        <v>50</v>
      </c>
      <c r="N3" s="8" t="s">
        <v>51</v>
      </c>
      <c r="O3" s="8" t="s">
        <v>52</v>
      </c>
      <c r="P3" s="8" t="s">
        <v>53</v>
      </c>
      <c r="Q3" s="8" t="s">
        <v>54</v>
      </c>
      <c r="R3" s="8" t="s">
        <v>55</v>
      </c>
      <c r="S3" s="8" t="s">
        <v>56</v>
      </c>
      <c r="T3" s="8" t="s">
        <v>57</v>
      </c>
      <c r="U3" s="6">
        <v>140</v>
      </c>
      <c r="V3" s="6">
        <v>8</v>
      </c>
      <c r="W3" s="8" t="s">
        <v>58</v>
      </c>
      <c r="X3" s="8" t="s">
        <v>59</v>
      </c>
      <c r="Y3" s="8" t="s">
        <v>58</v>
      </c>
    </row>
    <row r="4" spans="1:25" s="5" customFormat="1" ht="69" x14ac:dyDescent="0.25">
      <c r="A4" s="6">
        <v>109042</v>
      </c>
      <c r="B4" s="6">
        <v>109042</v>
      </c>
      <c r="C4" s="7" t="s">
        <v>226</v>
      </c>
      <c r="D4" s="7" t="s">
        <v>227</v>
      </c>
      <c r="E4" s="8" t="s">
        <v>203</v>
      </c>
      <c r="F4" s="8" t="s">
        <v>230</v>
      </c>
      <c r="G4" s="8" t="s">
        <v>47</v>
      </c>
      <c r="H4" s="6">
        <v>16943</v>
      </c>
      <c r="I4" s="9">
        <v>43826</v>
      </c>
      <c r="J4" s="9">
        <v>43826</v>
      </c>
      <c r="K4" s="6">
        <v>7</v>
      </c>
      <c r="L4" s="9">
        <v>43826</v>
      </c>
      <c r="M4" s="8" t="s">
        <v>50</v>
      </c>
      <c r="N4" s="8" t="s">
        <v>51</v>
      </c>
      <c r="O4" s="8" t="s">
        <v>52</v>
      </c>
      <c r="P4" s="8" t="s">
        <v>53</v>
      </c>
      <c r="Q4" s="8" t="s">
        <v>54</v>
      </c>
      <c r="R4" s="8" t="s">
        <v>55</v>
      </c>
      <c r="S4" s="8" t="s">
        <v>56</v>
      </c>
      <c r="T4" s="8" t="s">
        <v>57</v>
      </c>
      <c r="U4" s="6">
        <v>142</v>
      </c>
      <c r="V4" s="6">
        <v>8</v>
      </c>
      <c r="W4" s="8" t="s">
        <v>58</v>
      </c>
      <c r="X4" s="8" t="s">
        <v>59</v>
      </c>
      <c r="Y4" s="8" t="s">
        <v>58</v>
      </c>
    </row>
    <row r="5" spans="1:25" s="5" customFormat="1" ht="48" x14ac:dyDescent="0.25">
      <c r="A5" s="6">
        <v>109345</v>
      </c>
      <c r="B5" s="6">
        <v>109345</v>
      </c>
      <c r="C5" s="7" t="s">
        <v>231</v>
      </c>
      <c r="D5" s="8" t="s">
        <v>232</v>
      </c>
      <c r="E5" s="8" t="s">
        <v>204</v>
      </c>
      <c r="F5" s="7" t="s">
        <v>233</v>
      </c>
      <c r="G5" s="8" t="s">
        <v>47</v>
      </c>
      <c r="H5" s="6">
        <v>12790</v>
      </c>
      <c r="I5" s="9">
        <v>44022</v>
      </c>
      <c r="J5" s="9">
        <v>44028</v>
      </c>
      <c r="K5" s="6">
        <v>7</v>
      </c>
      <c r="L5" s="9">
        <v>44028</v>
      </c>
      <c r="M5" s="8" t="s">
        <v>72</v>
      </c>
      <c r="N5" s="8" t="s">
        <v>73</v>
      </c>
      <c r="O5" s="8" t="s">
        <v>74</v>
      </c>
      <c r="P5" s="8" t="s">
        <v>75</v>
      </c>
      <c r="Q5" s="8" t="s">
        <v>76</v>
      </c>
      <c r="R5" s="8" t="s">
        <v>55</v>
      </c>
      <c r="S5" s="8" t="s">
        <v>56</v>
      </c>
      <c r="T5" s="8" t="s">
        <v>57</v>
      </c>
      <c r="U5" s="6">
        <v>160</v>
      </c>
      <c r="V5" s="6">
        <v>9</v>
      </c>
      <c r="W5" s="8" t="s">
        <v>58</v>
      </c>
      <c r="X5" s="8" t="s">
        <v>59</v>
      </c>
      <c r="Y5" s="8" t="s">
        <v>58</v>
      </c>
    </row>
    <row r="6" spans="1:25" s="5" customFormat="1" ht="60" x14ac:dyDescent="0.25">
      <c r="A6" s="6">
        <v>109937</v>
      </c>
      <c r="B6" s="6">
        <v>109937</v>
      </c>
      <c r="C6" s="8" t="s">
        <v>234</v>
      </c>
      <c r="D6" s="7" t="s">
        <v>235</v>
      </c>
      <c r="E6" s="8" t="s">
        <v>236</v>
      </c>
      <c r="F6" s="7" t="s">
        <v>237</v>
      </c>
      <c r="G6" s="8" t="s">
        <v>47</v>
      </c>
      <c r="H6" s="6">
        <v>5018</v>
      </c>
      <c r="I6" s="9">
        <v>44279</v>
      </c>
      <c r="J6" s="9">
        <v>44281</v>
      </c>
      <c r="K6" s="6">
        <v>7</v>
      </c>
      <c r="L6" s="9">
        <v>44298</v>
      </c>
      <c r="M6" s="8" t="s">
        <v>80</v>
      </c>
      <c r="N6" s="8" t="s">
        <v>80</v>
      </c>
      <c r="O6" s="8" t="s">
        <v>81</v>
      </c>
      <c r="P6" s="8" t="s">
        <v>75</v>
      </c>
      <c r="Q6" s="8" t="s">
        <v>82</v>
      </c>
      <c r="R6" s="8" t="s">
        <v>83</v>
      </c>
      <c r="S6" s="8" t="s">
        <v>84</v>
      </c>
      <c r="T6" s="8" t="s">
        <v>57</v>
      </c>
      <c r="U6" s="6">
        <v>24</v>
      </c>
      <c r="V6" s="6">
        <v>2</v>
      </c>
      <c r="W6" s="8" t="s">
        <v>58</v>
      </c>
      <c r="X6" s="8" t="s">
        <v>59</v>
      </c>
      <c r="Y6" s="8" t="s">
        <v>85</v>
      </c>
    </row>
    <row r="7" spans="1:25" s="5" customFormat="1" ht="96" x14ac:dyDescent="0.25">
      <c r="A7" s="6">
        <v>108268</v>
      </c>
      <c r="B7" s="6">
        <v>108268</v>
      </c>
      <c r="C7" s="7" t="s">
        <v>226</v>
      </c>
      <c r="D7" s="7" t="s">
        <v>227</v>
      </c>
      <c r="E7" s="8" t="s">
        <v>205</v>
      </c>
      <c r="F7" s="8" t="s">
        <v>238</v>
      </c>
      <c r="G7" s="8" t="s">
        <v>47</v>
      </c>
      <c r="H7" s="6">
        <v>9130</v>
      </c>
      <c r="I7" s="9">
        <v>43706</v>
      </c>
      <c r="J7" s="9">
        <v>43706</v>
      </c>
      <c r="K7" s="6">
        <v>7</v>
      </c>
      <c r="L7" s="9">
        <v>43720</v>
      </c>
      <c r="M7" s="8" t="s">
        <v>89</v>
      </c>
      <c r="N7" s="8" t="s">
        <v>90</v>
      </c>
      <c r="O7" s="8" t="s">
        <v>90</v>
      </c>
      <c r="P7" s="8" t="s">
        <v>53</v>
      </c>
      <c r="Q7" s="8" t="s">
        <v>54</v>
      </c>
      <c r="R7" s="8" t="s">
        <v>83</v>
      </c>
      <c r="S7" s="8" t="s">
        <v>84</v>
      </c>
      <c r="T7" s="8" t="s">
        <v>57</v>
      </c>
      <c r="U7" s="6">
        <v>24</v>
      </c>
      <c r="V7" s="6">
        <v>2</v>
      </c>
      <c r="W7" s="8" t="s">
        <v>58</v>
      </c>
      <c r="X7" s="8" t="s">
        <v>59</v>
      </c>
      <c r="Y7" s="8" t="s">
        <v>58</v>
      </c>
    </row>
    <row r="8" spans="1:25" s="5" customFormat="1" ht="69" x14ac:dyDescent="0.25">
      <c r="A8" s="6">
        <v>116295</v>
      </c>
      <c r="B8" s="7"/>
      <c r="C8" s="7" t="s">
        <v>226</v>
      </c>
      <c r="D8" s="7" t="s">
        <v>227</v>
      </c>
      <c r="E8" s="8" t="s">
        <v>206</v>
      </c>
      <c r="F8" s="8" t="s">
        <v>239</v>
      </c>
      <c r="G8" s="8" t="s">
        <v>47</v>
      </c>
      <c r="H8" s="6">
        <v>23141</v>
      </c>
      <c r="I8" s="9">
        <v>45259</v>
      </c>
      <c r="J8" s="9">
        <v>45266</v>
      </c>
      <c r="K8" s="6">
        <v>7</v>
      </c>
      <c r="L8" s="9">
        <v>45266</v>
      </c>
      <c r="M8" s="8" t="s">
        <v>50</v>
      </c>
      <c r="N8" s="8" t="s">
        <v>51</v>
      </c>
      <c r="O8" s="8" t="s">
        <v>52</v>
      </c>
      <c r="P8" s="8" t="s">
        <v>92</v>
      </c>
      <c r="Q8" s="8" t="s">
        <v>93</v>
      </c>
      <c r="R8" s="8" t="s">
        <v>83</v>
      </c>
      <c r="S8" s="8" t="s">
        <v>84</v>
      </c>
      <c r="T8" s="8" t="s">
        <v>57</v>
      </c>
      <c r="U8" s="6">
        <v>24</v>
      </c>
      <c r="V8" s="6">
        <v>2</v>
      </c>
      <c r="W8" s="8" t="s">
        <v>58</v>
      </c>
      <c r="X8" s="8" t="s">
        <v>59</v>
      </c>
      <c r="Y8" s="8" t="s">
        <v>58</v>
      </c>
    </row>
    <row r="9" spans="1:25" s="5" customFormat="1" ht="72" x14ac:dyDescent="0.25">
      <c r="A9" s="6">
        <v>117906</v>
      </c>
      <c r="B9" s="7"/>
      <c r="C9" s="7" t="s">
        <v>231</v>
      </c>
      <c r="D9" s="8" t="s">
        <v>232</v>
      </c>
      <c r="E9" s="8" t="s">
        <v>207</v>
      </c>
      <c r="F9" s="7" t="s">
        <v>240</v>
      </c>
      <c r="G9" s="8" t="s">
        <v>47</v>
      </c>
      <c r="H9" s="6">
        <v>4541</v>
      </c>
      <c r="I9" s="9">
        <v>45727</v>
      </c>
      <c r="J9" s="9">
        <v>45743</v>
      </c>
      <c r="K9" s="6">
        <v>7</v>
      </c>
      <c r="L9" s="9">
        <v>45743</v>
      </c>
      <c r="M9" s="8" t="s">
        <v>72</v>
      </c>
      <c r="N9" s="8" t="s">
        <v>73</v>
      </c>
      <c r="O9" s="8" t="s">
        <v>74</v>
      </c>
      <c r="P9" s="8" t="s">
        <v>95</v>
      </c>
      <c r="Q9" s="8" t="s">
        <v>96</v>
      </c>
      <c r="R9" s="8" t="s">
        <v>83</v>
      </c>
      <c r="S9" s="8" t="s">
        <v>84</v>
      </c>
      <c r="T9" s="8" t="s">
        <v>57</v>
      </c>
      <c r="U9" s="6">
        <v>25</v>
      </c>
      <c r="V9" s="6">
        <v>2</v>
      </c>
      <c r="W9" s="8" t="s">
        <v>58</v>
      </c>
      <c r="X9" s="8" t="s">
        <v>59</v>
      </c>
      <c r="Y9" s="8" t="s">
        <v>58</v>
      </c>
    </row>
    <row r="10" spans="1:25" s="5" customFormat="1" ht="60" x14ac:dyDescent="0.25">
      <c r="A10" s="6">
        <v>111115</v>
      </c>
      <c r="B10" s="6">
        <v>111115</v>
      </c>
      <c r="C10" s="8" t="s">
        <v>234</v>
      </c>
      <c r="D10" s="7" t="s">
        <v>235</v>
      </c>
      <c r="E10" s="8" t="s">
        <v>208</v>
      </c>
      <c r="F10" s="7" t="s">
        <v>241</v>
      </c>
      <c r="G10" s="8" t="s">
        <v>47</v>
      </c>
      <c r="H10" s="6">
        <v>7615</v>
      </c>
      <c r="I10" s="9">
        <v>44655</v>
      </c>
      <c r="J10" s="9">
        <v>44657</v>
      </c>
      <c r="K10" s="6">
        <v>7</v>
      </c>
      <c r="L10" s="9">
        <v>44700</v>
      </c>
      <c r="M10" s="8" t="s">
        <v>100</v>
      </c>
      <c r="N10" s="8" t="s">
        <v>101</v>
      </c>
      <c r="O10" s="8" t="s">
        <v>102</v>
      </c>
      <c r="P10" s="8" t="s">
        <v>75</v>
      </c>
      <c r="Q10" s="8" t="s">
        <v>103</v>
      </c>
      <c r="R10" s="7" t="s">
        <v>83</v>
      </c>
      <c r="S10" s="8" t="s">
        <v>84</v>
      </c>
      <c r="T10" s="8" t="s">
        <v>57</v>
      </c>
      <c r="U10" s="6">
        <v>24</v>
      </c>
      <c r="V10" s="6">
        <v>2</v>
      </c>
      <c r="W10" s="8" t="s">
        <v>58</v>
      </c>
      <c r="X10" s="8" t="s">
        <v>59</v>
      </c>
      <c r="Y10" s="8" t="s">
        <v>85</v>
      </c>
    </row>
    <row r="11" spans="1:25" s="5" customFormat="1" ht="60" x14ac:dyDescent="0.25">
      <c r="A11" s="6">
        <v>107960</v>
      </c>
      <c r="B11" s="6">
        <v>107960</v>
      </c>
      <c r="C11" s="8" t="s">
        <v>234</v>
      </c>
      <c r="D11" s="7" t="s">
        <v>235</v>
      </c>
      <c r="E11" s="8" t="s">
        <v>209</v>
      </c>
      <c r="F11" s="7" t="s">
        <v>242</v>
      </c>
      <c r="G11" s="8" t="s">
        <v>47</v>
      </c>
      <c r="H11" s="6">
        <v>4252</v>
      </c>
      <c r="I11" s="9">
        <v>43580</v>
      </c>
      <c r="J11" s="9">
        <v>43580</v>
      </c>
      <c r="K11" s="6">
        <v>7</v>
      </c>
      <c r="L11" s="9">
        <v>43598</v>
      </c>
      <c r="M11" s="8" t="s">
        <v>80</v>
      </c>
      <c r="N11" s="8" t="s">
        <v>80</v>
      </c>
      <c r="O11" s="8" t="s">
        <v>107</v>
      </c>
      <c r="P11" s="8" t="s">
        <v>75</v>
      </c>
      <c r="Q11" s="8" t="s">
        <v>82</v>
      </c>
      <c r="R11" s="8" t="s">
        <v>83</v>
      </c>
      <c r="S11" s="8" t="s">
        <v>84</v>
      </c>
      <c r="T11" s="8" t="s">
        <v>57</v>
      </c>
      <c r="U11" s="6">
        <v>24</v>
      </c>
      <c r="V11" s="6">
        <v>2</v>
      </c>
      <c r="W11" s="8" t="s">
        <v>58</v>
      </c>
      <c r="X11" s="8" t="s">
        <v>59</v>
      </c>
      <c r="Y11" s="8" t="s">
        <v>58</v>
      </c>
    </row>
    <row r="12" spans="1:25" s="5" customFormat="1" ht="48" x14ac:dyDescent="0.25">
      <c r="A12" s="6">
        <v>116300</v>
      </c>
      <c r="B12" s="7"/>
      <c r="C12" s="8" t="s">
        <v>243</v>
      </c>
      <c r="D12" s="7" t="s">
        <v>244</v>
      </c>
      <c r="E12" s="8" t="s">
        <v>210</v>
      </c>
      <c r="F12" s="7" t="s">
        <v>245</v>
      </c>
      <c r="G12" s="8" t="s">
        <v>47</v>
      </c>
      <c r="H12" s="6">
        <v>23148</v>
      </c>
      <c r="I12" s="9">
        <v>45259</v>
      </c>
      <c r="J12" s="9">
        <v>45266</v>
      </c>
      <c r="K12" s="6">
        <v>7</v>
      </c>
      <c r="L12" s="9">
        <v>45266</v>
      </c>
      <c r="M12" s="8" t="s">
        <v>109</v>
      </c>
      <c r="N12" s="8" t="s">
        <v>109</v>
      </c>
      <c r="O12" s="8" t="s">
        <v>110</v>
      </c>
      <c r="P12" s="8" t="s">
        <v>92</v>
      </c>
      <c r="Q12" s="8" t="s">
        <v>93</v>
      </c>
      <c r="R12" s="8" t="s">
        <v>83</v>
      </c>
      <c r="S12" s="8" t="s">
        <v>84</v>
      </c>
      <c r="T12" s="8" t="s">
        <v>57</v>
      </c>
      <c r="U12" s="6">
        <v>24</v>
      </c>
      <c r="V12" s="6">
        <v>2</v>
      </c>
      <c r="W12" s="8" t="s">
        <v>58</v>
      </c>
      <c r="X12" s="8" t="s">
        <v>59</v>
      </c>
      <c r="Y12" s="8" t="s">
        <v>58</v>
      </c>
    </row>
    <row r="13" spans="1:25" s="5" customFormat="1" ht="60" x14ac:dyDescent="0.25">
      <c r="A13" s="6">
        <v>116232</v>
      </c>
      <c r="B13" s="7"/>
      <c r="C13" s="8" t="s">
        <v>234</v>
      </c>
      <c r="D13" s="7" t="s">
        <v>235</v>
      </c>
      <c r="E13" s="8" t="s">
        <v>211</v>
      </c>
      <c r="F13" s="7" t="s">
        <v>246</v>
      </c>
      <c r="G13" s="8" t="s">
        <v>47</v>
      </c>
      <c r="H13" s="6">
        <v>21298</v>
      </c>
      <c r="I13" s="9">
        <v>45240</v>
      </c>
      <c r="J13" s="9">
        <v>45244</v>
      </c>
      <c r="K13" s="6">
        <v>7</v>
      </c>
      <c r="L13" s="9">
        <v>45244</v>
      </c>
      <c r="M13" s="8" t="s">
        <v>80</v>
      </c>
      <c r="N13" s="8" t="s">
        <v>80</v>
      </c>
      <c r="O13" s="8" t="s">
        <v>107</v>
      </c>
      <c r="P13" s="8" t="s">
        <v>92</v>
      </c>
      <c r="Q13" s="8" t="s">
        <v>93</v>
      </c>
      <c r="R13" s="8" t="s">
        <v>55</v>
      </c>
      <c r="S13" s="8" t="s">
        <v>56</v>
      </c>
      <c r="T13" s="8" t="s">
        <v>57</v>
      </c>
      <c r="U13" s="6">
        <v>144</v>
      </c>
      <c r="V13" s="6">
        <v>9</v>
      </c>
      <c r="W13" s="8" t="s">
        <v>58</v>
      </c>
      <c r="X13" s="8" t="s">
        <v>59</v>
      </c>
      <c r="Y13" s="8" t="s">
        <v>58</v>
      </c>
    </row>
    <row r="14" spans="1:25" s="5" customFormat="1" ht="84" x14ac:dyDescent="0.25">
      <c r="A14" s="6">
        <v>117540</v>
      </c>
      <c r="B14" s="7"/>
      <c r="C14" s="8" t="s">
        <v>234</v>
      </c>
      <c r="D14" s="7" t="s">
        <v>235</v>
      </c>
      <c r="E14" s="8" t="s">
        <v>212</v>
      </c>
      <c r="F14" s="7" t="s">
        <v>247</v>
      </c>
      <c r="G14" s="8" t="s">
        <v>47</v>
      </c>
      <c r="H14" s="6">
        <v>12084</v>
      </c>
      <c r="I14" s="9">
        <v>45492</v>
      </c>
      <c r="J14" s="9">
        <v>45495</v>
      </c>
      <c r="K14" s="6">
        <v>7</v>
      </c>
      <c r="L14" s="9">
        <v>45495</v>
      </c>
      <c r="M14" s="8" t="s">
        <v>100</v>
      </c>
      <c r="N14" s="8" t="s">
        <v>113</v>
      </c>
      <c r="O14" s="8" t="s">
        <v>113</v>
      </c>
      <c r="P14" s="8" t="s">
        <v>92</v>
      </c>
      <c r="Q14" s="8" t="s">
        <v>93</v>
      </c>
      <c r="R14" s="8" t="s">
        <v>55</v>
      </c>
      <c r="S14" s="8" t="s">
        <v>56</v>
      </c>
      <c r="T14" s="8" t="s">
        <v>57</v>
      </c>
      <c r="U14" s="6">
        <v>143</v>
      </c>
      <c r="V14" s="6">
        <v>8</v>
      </c>
      <c r="W14" s="8" t="s">
        <v>114</v>
      </c>
      <c r="X14" s="8" t="s">
        <v>59</v>
      </c>
      <c r="Y14" s="8" t="s">
        <v>58</v>
      </c>
    </row>
    <row r="15" spans="1:25" s="5" customFormat="1" ht="60" x14ac:dyDescent="0.25">
      <c r="A15" s="6">
        <v>109615</v>
      </c>
      <c r="B15" s="6">
        <v>109615</v>
      </c>
      <c r="C15" s="8" t="s">
        <v>234</v>
      </c>
      <c r="D15" s="7" t="s">
        <v>235</v>
      </c>
      <c r="E15" s="8" t="s">
        <v>213</v>
      </c>
      <c r="F15" s="7" t="s">
        <v>248</v>
      </c>
      <c r="G15" s="8" t="s">
        <v>47</v>
      </c>
      <c r="H15" s="6">
        <v>7154</v>
      </c>
      <c r="I15" s="9">
        <v>43963</v>
      </c>
      <c r="J15" s="9">
        <v>44153</v>
      </c>
      <c r="K15" s="6">
        <v>7</v>
      </c>
      <c r="L15" s="9">
        <v>44179</v>
      </c>
      <c r="M15" s="8" t="s">
        <v>100</v>
      </c>
      <c r="N15" s="8" t="s">
        <v>118</v>
      </c>
      <c r="O15" s="8" t="s">
        <v>119</v>
      </c>
      <c r="P15" s="8" t="s">
        <v>75</v>
      </c>
      <c r="Q15" s="8" t="s">
        <v>120</v>
      </c>
      <c r="R15" s="8" t="s">
        <v>55</v>
      </c>
      <c r="S15" s="8" t="s">
        <v>56</v>
      </c>
      <c r="T15" s="8" t="s">
        <v>57</v>
      </c>
      <c r="U15" s="6">
        <v>158</v>
      </c>
      <c r="V15" s="6">
        <v>9</v>
      </c>
      <c r="W15" s="8" t="s">
        <v>58</v>
      </c>
      <c r="X15" s="8" t="s">
        <v>59</v>
      </c>
      <c r="Y15" s="8" t="s">
        <v>58</v>
      </c>
    </row>
    <row r="16" spans="1:25" s="5" customFormat="1" ht="60" x14ac:dyDescent="0.25">
      <c r="A16" s="6">
        <v>116510</v>
      </c>
      <c r="B16" s="7"/>
      <c r="C16" s="8" t="s">
        <v>243</v>
      </c>
      <c r="D16" s="7" t="s">
        <v>244</v>
      </c>
      <c r="E16" s="8" t="s">
        <v>214</v>
      </c>
      <c r="F16" s="7" t="s">
        <v>249</v>
      </c>
      <c r="G16" s="8" t="s">
        <v>47</v>
      </c>
      <c r="H16" s="6">
        <v>25371</v>
      </c>
      <c r="I16" s="9">
        <v>45281</v>
      </c>
      <c r="J16" s="9">
        <v>45301</v>
      </c>
      <c r="K16" s="6">
        <v>7</v>
      </c>
      <c r="L16" s="9">
        <v>45301</v>
      </c>
      <c r="M16" s="8" t="s">
        <v>109</v>
      </c>
      <c r="N16" s="8" t="s">
        <v>109</v>
      </c>
      <c r="O16" s="8" t="s">
        <v>122</v>
      </c>
      <c r="P16" s="8" t="s">
        <v>92</v>
      </c>
      <c r="Q16" s="8" t="s">
        <v>93</v>
      </c>
      <c r="R16" s="8" t="s">
        <v>55</v>
      </c>
      <c r="S16" s="8" t="s">
        <v>56</v>
      </c>
      <c r="T16" s="8" t="s">
        <v>57</v>
      </c>
      <c r="U16" s="6">
        <v>144</v>
      </c>
      <c r="V16" s="6">
        <v>8</v>
      </c>
      <c r="W16" s="8" t="s">
        <v>58</v>
      </c>
      <c r="X16" s="8" t="s">
        <v>59</v>
      </c>
      <c r="Y16" s="8" t="s">
        <v>58</v>
      </c>
    </row>
    <row r="17" spans="1:25" s="5" customFormat="1" ht="69" x14ac:dyDescent="0.25">
      <c r="A17" s="6">
        <v>108269</v>
      </c>
      <c r="B17" s="6">
        <v>108269</v>
      </c>
      <c r="C17" s="7" t="s">
        <v>226</v>
      </c>
      <c r="D17" s="7" t="s">
        <v>227</v>
      </c>
      <c r="E17" s="10" t="s">
        <v>215</v>
      </c>
      <c r="F17" s="8" t="s">
        <v>250</v>
      </c>
      <c r="G17" s="8" t="s">
        <v>47</v>
      </c>
      <c r="H17" s="6">
        <v>9134</v>
      </c>
      <c r="I17" s="9">
        <v>43706</v>
      </c>
      <c r="J17" s="9">
        <v>43706</v>
      </c>
      <c r="K17" s="6">
        <v>7</v>
      </c>
      <c r="L17" s="9">
        <v>43706</v>
      </c>
      <c r="M17" s="8" t="s">
        <v>50</v>
      </c>
      <c r="N17" s="8" t="s">
        <v>51</v>
      </c>
      <c r="O17" s="8" t="s">
        <v>126</v>
      </c>
      <c r="P17" s="8" t="s">
        <v>127</v>
      </c>
      <c r="Q17" s="8" t="s">
        <v>128</v>
      </c>
      <c r="R17" s="8" t="s">
        <v>55</v>
      </c>
      <c r="S17" s="8" t="s">
        <v>56</v>
      </c>
      <c r="T17" s="8" t="s">
        <v>57</v>
      </c>
      <c r="U17" s="6">
        <v>141</v>
      </c>
      <c r="V17" s="6">
        <v>8</v>
      </c>
      <c r="W17" s="8" t="s">
        <v>58</v>
      </c>
      <c r="X17" s="8" t="s">
        <v>59</v>
      </c>
      <c r="Y17" s="8" t="s">
        <v>58</v>
      </c>
    </row>
    <row r="18" spans="1:25" s="5" customFormat="1" ht="72" x14ac:dyDescent="0.25">
      <c r="A18" s="6">
        <v>109852</v>
      </c>
      <c r="B18" s="6">
        <v>109852</v>
      </c>
      <c r="C18" s="7" t="s">
        <v>231</v>
      </c>
      <c r="D18" s="8" t="s">
        <v>232</v>
      </c>
      <c r="E18" s="8" t="s">
        <v>216</v>
      </c>
      <c r="F18" s="7" t="s">
        <v>251</v>
      </c>
      <c r="G18" s="8" t="s">
        <v>47</v>
      </c>
      <c r="H18" s="6">
        <v>1720</v>
      </c>
      <c r="I18" s="9">
        <v>44231</v>
      </c>
      <c r="J18" s="9">
        <v>44235</v>
      </c>
      <c r="K18" s="6">
        <v>7</v>
      </c>
      <c r="L18" s="9">
        <v>44257</v>
      </c>
      <c r="M18" s="8" t="s">
        <v>89</v>
      </c>
      <c r="N18" s="8" t="s">
        <v>132</v>
      </c>
      <c r="O18" s="8" t="s">
        <v>133</v>
      </c>
      <c r="P18" s="8" t="s">
        <v>134</v>
      </c>
      <c r="Q18" s="8" t="s">
        <v>135</v>
      </c>
      <c r="R18" s="8" t="s">
        <v>55</v>
      </c>
      <c r="S18" s="8" t="s">
        <v>136</v>
      </c>
      <c r="T18" s="8" t="s">
        <v>57</v>
      </c>
      <c r="U18" s="6">
        <v>91</v>
      </c>
      <c r="V18" s="6">
        <v>6</v>
      </c>
      <c r="W18" s="8" t="s">
        <v>58</v>
      </c>
      <c r="X18" s="8" t="s">
        <v>59</v>
      </c>
      <c r="Y18" s="8" t="s">
        <v>137</v>
      </c>
    </row>
    <row r="19" spans="1:25" s="5" customFormat="1" ht="60" x14ac:dyDescent="0.25">
      <c r="A19" s="6">
        <v>107611</v>
      </c>
      <c r="B19" s="6">
        <v>107611</v>
      </c>
      <c r="C19" s="8" t="s">
        <v>234</v>
      </c>
      <c r="D19" s="7" t="s">
        <v>235</v>
      </c>
      <c r="E19" s="8" t="s">
        <v>217</v>
      </c>
      <c r="F19" s="7" t="s">
        <v>252</v>
      </c>
      <c r="G19" s="8" t="s">
        <v>47</v>
      </c>
      <c r="H19" s="6">
        <v>1517</v>
      </c>
      <c r="I19" s="9">
        <v>43503</v>
      </c>
      <c r="J19" s="9">
        <v>43503</v>
      </c>
      <c r="K19" s="6">
        <v>7</v>
      </c>
      <c r="L19" s="9">
        <v>43508</v>
      </c>
      <c r="M19" s="8" t="s">
        <v>80</v>
      </c>
      <c r="N19" s="8" t="s">
        <v>80</v>
      </c>
      <c r="O19" s="8" t="s">
        <v>107</v>
      </c>
      <c r="P19" s="8" t="s">
        <v>75</v>
      </c>
      <c r="Q19" s="8" t="s">
        <v>82</v>
      </c>
      <c r="R19" s="8" t="s">
        <v>55</v>
      </c>
      <c r="S19" s="8" t="s">
        <v>136</v>
      </c>
      <c r="T19" s="8" t="s">
        <v>57</v>
      </c>
      <c r="U19" s="6">
        <v>104</v>
      </c>
      <c r="V19" s="6">
        <v>6</v>
      </c>
      <c r="W19" s="8" t="s">
        <v>58</v>
      </c>
      <c r="X19" s="8" t="s">
        <v>59</v>
      </c>
      <c r="Y19" s="8" t="s">
        <v>58</v>
      </c>
    </row>
    <row r="20" spans="1:25" s="5" customFormat="1" ht="69" x14ac:dyDescent="0.25">
      <c r="A20" s="6">
        <v>117095</v>
      </c>
      <c r="B20" s="7"/>
      <c r="C20" s="7" t="s">
        <v>226</v>
      </c>
      <c r="D20" s="7" t="s">
        <v>227</v>
      </c>
      <c r="E20" s="8" t="s">
        <v>218</v>
      </c>
      <c r="F20" s="8" t="s">
        <v>253</v>
      </c>
      <c r="G20" s="8" t="s">
        <v>47</v>
      </c>
      <c r="H20" s="6">
        <v>11404</v>
      </c>
      <c r="I20" s="9">
        <v>45489</v>
      </c>
      <c r="J20" s="9">
        <v>45505</v>
      </c>
      <c r="K20" s="6">
        <v>7</v>
      </c>
      <c r="L20" s="9">
        <v>45505</v>
      </c>
      <c r="M20" s="8" t="s">
        <v>50</v>
      </c>
      <c r="N20" s="8" t="s">
        <v>51</v>
      </c>
      <c r="O20" s="8" t="s">
        <v>52</v>
      </c>
      <c r="P20" s="8" t="s">
        <v>92</v>
      </c>
      <c r="Q20" s="8" t="s">
        <v>93</v>
      </c>
      <c r="R20" s="8" t="s">
        <v>55</v>
      </c>
      <c r="S20" s="8" t="s">
        <v>136</v>
      </c>
      <c r="T20" s="8" t="s">
        <v>57</v>
      </c>
      <c r="U20" s="6">
        <v>99</v>
      </c>
      <c r="V20" s="6">
        <v>6</v>
      </c>
      <c r="W20" s="8" t="s">
        <v>58</v>
      </c>
      <c r="X20" s="8" t="s">
        <v>59</v>
      </c>
      <c r="Y20" s="8" t="s">
        <v>58</v>
      </c>
    </row>
    <row r="21" spans="1:25" s="5" customFormat="1" ht="60" x14ac:dyDescent="0.25">
      <c r="A21" s="6">
        <v>109194</v>
      </c>
      <c r="B21" s="6">
        <v>109194</v>
      </c>
      <c r="C21" s="8" t="s">
        <v>234</v>
      </c>
      <c r="D21" s="7" t="s">
        <v>235</v>
      </c>
      <c r="E21" s="8" t="s">
        <v>219</v>
      </c>
      <c r="F21" s="7" t="s">
        <v>254</v>
      </c>
      <c r="G21" s="8" t="s">
        <v>47</v>
      </c>
      <c r="H21" s="6">
        <v>15874</v>
      </c>
      <c r="I21" s="9">
        <v>43817</v>
      </c>
      <c r="J21" s="9">
        <v>43817</v>
      </c>
      <c r="K21" s="6">
        <v>7</v>
      </c>
      <c r="L21" s="9">
        <v>43879</v>
      </c>
      <c r="M21" s="8" t="s">
        <v>100</v>
      </c>
      <c r="N21" s="8" t="s">
        <v>145</v>
      </c>
      <c r="O21" s="8" t="s">
        <v>146</v>
      </c>
      <c r="P21" s="8" t="s">
        <v>75</v>
      </c>
      <c r="Q21" s="8" t="s">
        <v>147</v>
      </c>
      <c r="R21" s="8" t="s">
        <v>55</v>
      </c>
      <c r="S21" s="8" t="s">
        <v>136</v>
      </c>
      <c r="T21" s="8" t="s">
        <v>57</v>
      </c>
      <c r="U21" s="6">
        <v>107</v>
      </c>
      <c r="V21" s="6">
        <v>6</v>
      </c>
      <c r="W21" s="8" t="s">
        <v>58</v>
      </c>
      <c r="X21" s="8" t="s">
        <v>59</v>
      </c>
      <c r="Y21" s="8" t="s">
        <v>58</v>
      </c>
    </row>
    <row r="22" spans="1:25" s="5" customFormat="1" ht="69" x14ac:dyDescent="0.25">
      <c r="A22" s="11">
        <v>110915</v>
      </c>
      <c r="B22" s="6">
        <v>110915</v>
      </c>
      <c r="C22" s="7" t="s">
        <v>226</v>
      </c>
      <c r="D22" s="7" t="s">
        <v>227</v>
      </c>
      <c r="E22" s="8" t="s">
        <v>220</v>
      </c>
      <c r="F22" s="7" t="s">
        <v>255</v>
      </c>
      <c r="G22" s="8" t="s">
        <v>47</v>
      </c>
      <c r="H22" s="6">
        <v>1133</v>
      </c>
      <c r="I22" s="9">
        <v>44595</v>
      </c>
      <c r="J22" s="9">
        <v>44601</v>
      </c>
      <c r="K22" s="6">
        <v>7</v>
      </c>
      <c r="L22" s="9">
        <v>44630</v>
      </c>
      <c r="M22" s="8" t="s">
        <v>50</v>
      </c>
      <c r="N22" s="8" t="s">
        <v>51</v>
      </c>
      <c r="O22" s="8" t="s">
        <v>151</v>
      </c>
      <c r="P22" s="8" t="s">
        <v>53</v>
      </c>
      <c r="Q22" s="8" t="s">
        <v>54</v>
      </c>
      <c r="R22" s="8" t="s">
        <v>55</v>
      </c>
      <c r="S22" s="8" t="s">
        <v>136</v>
      </c>
      <c r="T22" s="8" t="s">
        <v>57</v>
      </c>
      <c r="U22" s="6">
        <v>96</v>
      </c>
      <c r="V22" s="6">
        <v>6</v>
      </c>
      <c r="W22" s="8" t="s">
        <v>58</v>
      </c>
      <c r="X22" s="8" t="s">
        <v>59</v>
      </c>
      <c r="Y22" s="8" t="s">
        <v>58</v>
      </c>
    </row>
    <row r="23" spans="1:25" s="5" customFormat="1" ht="69" x14ac:dyDescent="0.25">
      <c r="A23" s="6">
        <v>116793</v>
      </c>
      <c r="B23" s="7"/>
      <c r="C23" s="7" t="s">
        <v>226</v>
      </c>
      <c r="D23" s="7" t="s">
        <v>227</v>
      </c>
      <c r="E23" s="8" t="s">
        <v>221</v>
      </c>
      <c r="F23" s="8" t="s">
        <v>256</v>
      </c>
      <c r="G23" s="8" t="s">
        <v>47</v>
      </c>
      <c r="H23" s="6">
        <v>3234</v>
      </c>
      <c r="I23" s="9">
        <v>45371</v>
      </c>
      <c r="J23" s="9">
        <v>45392</v>
      </c>
      <c r="K23" s="6">
        <v>7</v>
      </c>
      <c r="L23" s="9">
        <v>45392</v>
      </c>
      <c r="M23" s="8" t="s">
        <v>50</v>
      </c>
      <c r="N23" s="8" t="s">
        <v>51</v>
      </c>
      <c r="O23" s="8" t="s">
        <v>52</v>
      </c>
      <c r="P23" s="8" t="s">
        <v>92</v>
      </c>
      <c r="Q23" s="8" t="s">
        <v>93</v>
      </c>
      <c r="R23" s="8" t="s">
        <v>55</v>
      </c>
      <c r="S23" s="8" t="s">
        <v>136</v>
      </c>
      <c r="T23" s="8" t="s">
        <v>57</v>
      </c>
      <c r="U23" s="6">
        <v>96</v>
      </c>
      <c r="V23" s="6">
        <v>6</v>
      </c>
      <c r="W23" s="8" t="s">
        <v>58</v>
      </c>
      <c r="X23" s="8" t="s">
        <v>59</v>
      </c>
      <c r="Y23" s="8" t="s">
        <v>58</v>
      </c>
    </row>
    <row r="24" spans="1:25" s="5" customFormat="1" ht="48" x14ac:dyDescent="0.25">
      <c r="A24" s="6">
        <v>109941</v>
      </c>
      <c r="B24" s="6">
        <v>109941</v>
      </c>
      <c r="C24" s="7" t="s">
        <v>231</v>
      </c>
      <c r="D24" s="8" t="s">
        <v>232</v>
      </c>
      <c r="E24" s="8" t="s">
        <v>222</v>
      </c>
      <c r="F24" s="7" t="s">
        <v>257</v>
      </c>
      <c r="G24" s="8" t="s">
        <v>47</v>
      </c>
      <c r="H24" s="6">
        <v>50937</v>
      </c>
      <c r="I24" s="9">
        <v>44279</v>
      </c>
      <c r="J24" s="9">
        <v>44281</v>
      </c>
      <c r="K24" s="6">
        <v>7</v>
      </c>
      <c r="L24" s="9">
        <v>44298</v>
      </c>
      <c r="M24" s="8" t="s">
        <v>89</v>
      </c>
      <c r="N24" s="8" t="s">
        <v>132</v>
      </c>
      <c r="O24" s="8" t="s">
        <v>156</v>
      </c>
      <c r="P24" s="8" t="s">
        <v>134</v>
      </c>
      <c r="Q24" s="8" t="s">
        <v>135</v>
      </c>
      <c r="R24" s="8" t="s">
        <v>55</v>
      </c>
      <c r="S24" s="8" t="s">
        <v>56</v>
      </c>
      <c r="T24" s="8" t="s">
        <v>57</v>
      </c>
      <c r="U24" s="6">
        <v>134</v>
      </c>
      <c r="V24" s="6">
        <v>8</v>
      </c>
      <c r="W24" s="8" t="s">
        <v>58</v>
      </c>
      <c r="X24" s="8" t="s">
        <v>59</v>
      </c>
      <c r="Y24" s="8" t="s">
        <v>137</v>
      </c>
    </row>
    <row r="25" spans="1:25" s="5" customFormat="1" ht="46.2" x14ac:dyDescent="0.25">
      <c r="A25" s="12">
        <v>119077</v>
      </c>
      <c r="B25" s="7"/>
      <c r="C25" s="7" t="s">
        <v>231</v>
      </c>
      <c r="D25" s="8" t="s">
        <v>232</v>
      </c>
      <c r="E25" s="12" t="s">
        <v>270</v>
      </c>
      <c r="F25" s="12" t="s">
        <v>268</v>
      </c>
      <c r="G25" s="8" t="s">
        <v>47</v>
      </c>
      <c r="H25" s="12">
        <v>9061</v>
      </c>
      <c r="I25" s="13">
        <v>46113</v>
      </c>
      <c r="J25" s="13">
        <v>46133</v>
      </c>
      <c r="K25" s="12" t="s">
        <v>49</v>
      </c>
      <c r="L25" s="13">
        <v>46133</v>
      </c>
      <c r="M25" s="12" t="s">
        <v>89</v>
      </c>
      <c r="N25" s="12" t="s">
        <v>260</v>
      </c>
      <c r="O25" s="12" t="s">
        <v>261</v>
      </c>
      <c r="P25" s="12" t="s">
        <v>134</v>
      </c>
      <c r="Q25" s="12" t="s">
        <v>262</v>
      </c>
      <c r="R25" s="12" t="s">
        <v>55</v>
      </c>
      <c r="S25" s="12" t="s">
        <v>56</v>
      </c>
      <c r="T25" s="12" t="s">
        <v>57</v>
      </c>
      <c r="U25" s="12">
        <v>147</v>
      </c>
      <c r="V25" s="12">
        <v>9</v>
      </c>
      <c r="W25" s="12" t="s">
        <v>58</v>
      </c>
      <c r="X25" s="12" t="s">
        <v>59</v>
      </c>
      <c r="Y25" s="12" t="s">
        <v>58</v>
      </c>
    </row>
    <row r="26" spans="1:25" s="5" customFormat="1" ht="46.2" x14ac:dyDescent="0.25">
      <c r="A26" s="12">
        <v>119128</v>
      </c>
      <c r="B26" s="6"/>
      <c r="C26" s="7" t="s">
        <v>231</v>
      </c>
      <c r="D26" s="8" t="s">
        <v>232</v>
      </c>
      <c r="E26" s="12" t="s">
        <v>264</v>
      </c>
      <c r="F26" s="12" t="s">
        <v>269</v>
      </c>
      <c r="G26" s="8" t="s">
        <v>47</v>
      </c>
      <c r="H26" s="12">
        <v>10348</v>
      </c>
      <c r="I26" s="13">
        <v>46128</v>
      </c>
      <c r="J26" s="13">
        <v>46149</v>
      </c>
      <c r="K26" s="12" t="s">
        <v>49</v>
      </c>
      <c r="L26" s="13">
        <v>46149</v>
      </c>
      <c r="M26" s="12" t="s">
        <v>50</v>
      </c>
      <c r="N26" s="12" t="s">
        <v>264</v>
      </c>
      <c r="O26" s="12" t="s">
        <v>264</v>
      </c>
      <c r="P26" s="12" t="s">
        <v>134</v>
      </c>
      <c r="Q26" s="12" t="s">
        <v>265</v>
      </c>
      <c r="R26" s="12" t="s">
        <v>55</v>
      </c>
      <c r="S26" s="12" t="s">
        <v>56</v>
      </c>
      <c r="T26" s="12" t="s">
        <v>57</v>
      </c>
      <c r="U26" s="12">
        <v>165</v>
      </c>
      <c r="V26" s="12">
        <v>10</v>
      </c>
      <c r="W26" s="12" t="s">
        <v>58</v>
      </c>
      <c r="X26" s="12" t="s">
        <v>59</v>
      </c>
      <c r="Y26" s="12" t="s">
        <v>58</v>
      </c>
    </row>
    <row r="27" spans="1:25" s="5" customFormat="1" x14ac:dyDescent="0.25">
      <c r="A27" s="7"/>
      <c r="B27" s="7"/>
      <c r="C27" s="7" t="s">
        <v>271</v>
      </c>
      <c r="D27" s="7"/>
      <c r="E27" s="12" t="s">
        <v>186</v>
      </c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spans="1:25" s="5" customFormat="1" x14ac:dyDescent="0.25">
      <c r="A28" s="7"/>
      <c r="B28" s="7"/>
      <c r="C28" s="7" t="s">
        <v>271</v>
      </c>
      <c r="D28" s="7"/>
      <c r="E28" s="12" t="s">
        <v>198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spans="1:25" s="5" customFormat="1" x14ac:dyDescent="0.25">
      <c r="A29" s="7"/>
      <c r="B29" s="7"/>
      <c r="C29" s="7" t="s">
        <v>271</v>
      </c>
      <c r="D29" s="7"/>
      <c r="E29" s="12" t="s">
        <v>194</v>
      </c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spans="1:25" s="5" customFormat="1" x14ac:dyDescent="0.25">
      <c r="A30" s="7"/>
      <c r="B30" s="7"/>
      <c r="C30" s="7" t="s">
        <v>271</v>
      </c>
      <c r="D30" s="7"/>
      <c r="E30" s="12" t="s">
        <v>167</v>
      </c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spans="1:25" s="5" customFormat="1" x14ac:dyDescent="0.25">
      <c r="A31" s="7"/>
      <c r="B31" s="7"/>
      <c r="C31" s="7" t="s">
        <v>271</v>
      </c>
      <c r="D31" s="7"/>
      <c r="E31" s="12" t="s">
        <v>188</v>
      </c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spans="1:25" s="5" customFormat="1" x14ac:dyDescent="0.25">
      <c r="A32" s="7"/>
      <c r="B32" s="7"/>
      <c r="C32" s="7" t="s">
        <v>271</v>
      </c>
      <c r="D32" s="7"/>
      <c r="E32" s="12" t="s">
        <v>178</v>
      </c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spans="1:25" s="5" customFormat="1" x14ac:dyDescent="0.25">
      <c r="A33" s="7"/>
      <c r="B33" s="7"/>
      <c r="C33" s="7" t="s">
        <v>271</v>
      </c>
      <c r="D33" s="7"/>
      <c r="E33" s="12" t="s">
        <v>195</v>
      </c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spans="1:25" s="5" customFormat="1" x14ac:dyDescent="0.25">
      <c r="A34" s="7"/>
      <c r="B34" s="7"/>
      <c r="C34" s="7" t="s">
        <v>271</v>
      </c>
      <c r="D34" s="7"/>
      <c r="E34" s="12" t="s">
        <v>184</v>
      </c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spans="1:25" s="5" customFormat="1" x14ac:dyDescent="0.25">
      <c r="A35" s="7"/>
      <c r="B35" s="7"/>
      <c r="C35" s="7" t="s">
        <v>271</v>
      </c>
      <c r="D35" s="7"/>
      <c r="E35" s="12" t="s">
        <v>199</v>
      </c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spans="1:25" s="5" customFormat="1" x14ac:dyDescent="0.25">
      <c r="A36" s="7"/>
      <c r="B36" s="7"/>
      <c r="C36" s="7" t="s">
        <v>271</v>
      </c>
      <c r="D36" s="7"/>
      <c r="E36" s="12" t="s">
        <v>192</v>
      </c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spans="1:25" s="5" customFormat="1" x14ac:dyDescent="0.25">
      <c r="A37" s="7"/>
      <c r="B37" s="7"/>
      <c r="C37" s="7" t="s">
        <v>271</v>
      </c>
      <c r="D37" s="7"/>
      <c r="E37" s="12" t="s">
        <v>187</v>
      </c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spans="1:25" s="5" customFormat="1" x14ac:dyDescent="0.25">
      <c r="A38" s="7"/>
      <c r="B38" s="7"/>
      <c r="C38" s="7" t="s">
        <v>271</v>
      </c>
      <c r="D38" s="7"/>
      <c r="E38" s="12" t="s">
        <v>193</v>
      </c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spans="1:25" s="5" customFormat="1" x14ac:dyDescent="0.25">
      <c r="A39" s="7"/>
      <c r="B39" s="7"/>
      <c r="C39" s="7" t="s">
        <v>271</v>
      </c>
      <c r="D39" s="7"/>
      <c r="E39" s="12" t="s">
        <v>191</v>
      </c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spans="1:25" s="5" customFormat="1" x14ac:dyDescent="0.25">
      <c r="A40" s="7"/>
      <c r="B40" s="7"/>
      <c r="C40" s="7" t="s">
        <v>271</v>
      </c>
      <c r="D40" s="7"/>
      <c r="E40" s="12" t="s">
        <v>189</v>
      </c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spans="1:25" s="5" customFormat="1" x14ac:dyDescent="0.25">
      <c r="A41" s="7"/>
      <c r="B41" s="7"/>
      <c r="C41" s="7" t="s">
        <v>271</v>
      </c>
      <c r="D41" s="7"/>
      <c r="E41" s="12" t="s">
        <v>181</v>
      </c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spans="1:25" s="5" customFormat="1" x14ac:dyDescent="0.25">
      <c r="A42" s="7"/>
      <c r="B42" s="7"/>
      <c r="C42" s="7" t="s">
        <v>271</v>
      </c>
      <c r="D42" s="7"/>
      <c r="E42" s="12" t="s">
        <v>190</v>
      </c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spans="1:25" s="5" customFormat="1" x14ac:dyDescent="0.25">
      <c r="A43" s="7"/>
      <c r="B43" s="7"/>
      <c r="C43" s="7" t="s">
        <v>271</v>
      </c>
      <c r="D43" s="7"/>
      <c r="E43" s="12" t="s">
        <v>183</v>
      </c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spans="1:25" s="5" customFormat="1" x14ac:dyDescent="0.25">
      <c r="A44" s="7"/>
      <c r="B44" s="7"/>
      <c r="C44" s="7" t="s">
        <v>271</v>
      </c>
      <c r="D44" s="7"/>
      <c r="E44" s="12" t="s">
        <v>176</v>
      </c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spans="1:25" s="5" customFormat="1" x14ac:dyDescent="0.25">
      <c r="A45" s="7"/>
      <c r="B45" s="7"/>
      <c r="C45" s="7" t="s">
        <v>271</v>
      </c>
      <c r="D45" s="7"/>
      <c r="E45" s="12" t="s">
        <v>196</v>
      </c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spans="1:25" s="5" customFormat="1" x14ac:dyDescent="0.25">
      <c r="A46" s="7"/>
      <c r="B46" s="7"/>
      <c r="C46" s="7" t="s">
        <v>271</v>
      </c>
      <c r="D46" s="7"/>
      <c r="E46" s="12" t="s">
        <v>182</v>
      </c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spans="1:25" s="5" customFormat="1" x14ac:dyDescent="0.25">
      <c r="A47" s="7"/>
      <c r="B47" s="7"/>
      <c r="C47" s="7" t="s">
        <v>271</v>
      </c>
      <c r="D47" s="7"/>
      <c r="E47" s="12" t="s">
        <v>197</v>
      </c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 spans="1:25" s="5" customFormat="1" x14ac:dyDescent="0.25">
      <c r="A48" s="7"/>
      <c r="B48" s="7"/>
      <c r="C48" s="7" t="s">
        <v>271</v>
      </c>
      <c r="D48" s="7"/>
      <c r="E48" s="12" t="s">
        <v>185</v>
      </c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 spans="1:25" s="5" customFormat="1" x14ac:dyDescent="0.25">
      <c r="A49" s="7"/>
      <c r="B49" s="7"/>
      <c r="C49" s="7" t="s">
        <v>271</v>
      </c>
      <c r="D49" s="7"/>
      <c r="E49" s="12" t="s">
        <v>169</v>
      </c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spans="1:25" s="5" customFormat="1" x14ac:dyDescent="0.25">
      <c r="A50" s="7"/>
      <c r="B50" s="7"/>
      <c r="C50" s="7" t="s">
        <v>271</v>
      </c>
      <c r="D50" s="7"/>
      <c r="E50" s="12" t="s">
        <v>200</v>
      </c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spans="1:25" s="5" customFormat="1" x14ac:dyDescent="0.25">
      <c r="A51" s="7"/>
      <c r="B51" s="7"/>
      <c r="C51" s="7" t="s">
        <v>271</v>
      </c>
      <c r="D51" s="7"/>
      <c r="E51" s="12" t="s">
        <v>170</v>
      </c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spans="1:25" s="5" customFormat="1" x14ac:dyDescent="0.25">
      <c r="A52" s="7"/>
      <c r="B52" s="7"/>
      <c r="C52" s="7" t="s">
        <v>271</v>
      </c>
      <c r="D52" s="7"/>
      <c r="E52" s="12" t="s">
        <v>175</v>
      </c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 spans="1:25" s="5" customFormat="1" x14ac:dyDescent="0.25">
      <c r="A53" s="7"/>
      <c r="B53" s="7"/>
      <c r="C53" s="7" t="s">
        <v>271</v>
      </c>
      <c r="D53" s="7"/>
      <c r="E53" s="12" t="s">
        <v>171</v>
      </c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 spans="1:25" s="5" customFormat="1" x14ac:dyDescent="0.25">
      <c r="A54" s="7"/>
      <c r="B54" s="7"/>
      <c r="C54" s="7" t="s">
        <v>271</v>
      </c>
      <c r="D54" s="7"/>
      <c r="E54" s="12" t="s">
        <v>172</v>
      </c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 spans="1:25" s="5" customFormat="1" x14ac:dyDescent="0.25">
      <c r="A55" s="7"/>
      <c r="B55" s="7"/>
      <c r="C55" s="7" t="s">
        <v>271</v>
      </c>
      <c r="D55" s="7"/>
      <c r="E55" s="12" t="s">
        <v>160</v>
      </c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 spans="1:25" s="5" customFormat="1" x14ac:dyDescent="0.25">
      <c r="A56" s="7"/>
      <c r="B56" s="7"/>
      <c r="C56" s="7" t="s">
        <v>271</v>
      </c>
      <c r="D56" s="7"/>
      <c r="E56" s="12" t="s">
        <v>272</v>
      </c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 spans="1:25" s="5" customFormat="1" x14ac:dyDescent="0.25">
      <c r="A57" s="7"/>
      <c r="B57" s="7"/>
      <c r="C57" s="7" t="s">
        <v>271</v>
      </c>
      <c r="D57" s="7"/>
      <c r="E57" s="12" t="s">
        <v>273</v>
      </c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 spans="1:25" s="5" customFormat="1" x14ac:dyDescent="0.25">
      <c r="A58" s="7"/>
      <c r="B58" s="7"/>
      <c r="C58" s="7" t="s">
        <v>271</v>
      </c>
      <c r="D58" s="7"/>
      <c r="E58" s="12" t="s">
        <v>274</v>
      </c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spans="1:25" s="5" customFormat="1" x14ac:dyDescent="0.25">
      <c r="A59" s="7"/>
      <c r="B59" s="7"/>
      <c r="C59" s="7" t="s">
        <v>271</v>
      </c>
      <c r="D59" s="7"/>
      <c r="E59" s="12" t="s">
        <v>275</v>
      </c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spans="1:25" s="5" customFormat="1" x14ac:dyDescent="0.25">
      <c r="A60" s="7"/>
      <c r="B60" s="7"/>
      <c r="C60" s="7" t="s">
        <v>271</v>
      </c>
      <c r="D60" s="7"/>
      <c r="E60" s="12" t="s">
        <v>276</v>
      </c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spans="1:25" s="5" customFormat="1" ht="12.6" thickBot="1" x14ac:dyDescent="0.3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</row>
    <row r="62" spans="1:25" s="5" customFormat="1" ht="12.6" thickBot="1" x14ac:dyDescent="0.3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</row>
    <row r="63" spans="1:25" s="5" customFormat="1" ht="12.6" thickBot="1" x14ac:dyDescent="0.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</row>
    <row r="64" spans="1:25" s="5" customFormat="1" ht="12.6" thickBot="1" x14ac:dyDescent="0.3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</row>
    <row r="65" spans="1:25" s="5" customFormat="1" ht="12.6" thickBot="1" x14ac:dyDescent="0.3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</row>
    <row r="66" spans="1:25" s="5" customFormat="1" ht="12.6" thickBot="1" x14ac:dyDescent="0.3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 spans="1:25" s="5" customFormat="1" ht="12.6" thickBot="1" x14ac:dyDescent="0.3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</row>
    <row r="68" spans="1:25" s="5" customFormat="1" ht="12.6" thickBot="1" x14ac:dyDescent="0.3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</row>
    <row r="69" spans="1:25" s="5" customFormat="1" ht="12.6" thickBot="1" x14ac:dyDescent="0.3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</row>
    <row r="70" spans="1:25" s="5" customFormat="1" ht="12.6" thickBot="1" x14ac:dyDescent="0.3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</row>
    <row r="71" spans="1:25" s="5" customFormat="1" ht="12.6" thickBot="1" x14ac:dyDescent="0.3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</row>
    <row r="72" spans="1:25" s="5" customFormat="1" ht="12.6" thickBot="1" x14ac:dyDescent="0.3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</row>
    <row r="73" spans="1:25" s="5" customFormat="1" ht="12.6" thickBot="1" x14ac:dyDescent="0.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</row>
    <row r="74" spans="1:25" s="5" customFormat="1" ht="12.6" thickBot="1" x14ac:dyDescent="0.3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</row>
    <row r="75" spans="1:25" s="5" customFormat="1" ht="12.6" thickBot="1" x14ac:dyDescent="0.3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</row>
    <row r="76" spans="1:25" s="5" customFormat="1" ht="12.6" thickBot="1" x14ac:dyDescent="0.3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</row>
    <row r="77" spans="1:25" s="5" customFormat="1" ht="12.6" thickBot="1" x14ac:dyDescent="0.3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</row>
    <row r="78" spans="1:25" s="5" customFormat="1" ht="12.6" thickBot="1" x14ac:dyDescent="0.3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</row>
    <row r="79" spans="1:25" s="5" customFormat="1" ht="12.6" thickBot="1" x14ac:dyDescent="0.3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</row>
    <row r="80" spans="1:25" s="5" customFormat="1" ht="12.6" thickBot="1" x14ac:dyDescent="0.3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</row>
    <row r="81" spans="1:25" s="5" customFormat="1" ht="12.6" thickBot="1" x14ac:dyDescent="0.3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</row>
    <row r="82" spans="1:25" s="5" customFormat="1" ht="12.6" thickBot="1" x14ac:dyDescent="0.3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</row>
    <row r="83" spans="1:25" s="5" customFormat="1" ht="12.6" thickBot="1" x14ac:dyDescent="0.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</row>
    <row r="84" spans="1:25" s="5" customFormat="1" ht="12.6" thickBot="1" x14ac:dyDescent="0.3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</row>
    <row r="85" spans="1:25" s="5" customFormat="1" ht="12.6" thickBot="1" x14ac:dyDescent="0.3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</row>
    <row r="86" spans="1:25" s="5" customFormat="1" ht="12.6" thickBot="1" x14ac:dyDescent="0.3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</row>
    <row r="87" spans="1:25" s="5" customFormat="1" ht="12.6" thickBot="1" x14ac:dyDescent="0.3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</row>
    <row r="88" spans="1:25" s="5" customFormat="1" ht="12.6" thickBot="1" x14ac:dyDescent="0.3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</row>
    <row r="89" spans="1:25" s="5" customFormat="1" ht="12.6" thickBot="1" x14ac:dyDescent="0.3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</row>
    <row r="90" spans="1:25" s="5" customFormat="1" ht="12.6" thickBot="1" x14ac:dyDescent="0.3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</row>
    <row r="91" spans="1:25" s="5" customFormat="1" ht="12.6" thickBot="1" x14ac:dyDescent="0.3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</row>
    <row r="92" spans="1:25" s="5" customFormat="1" ht="12.6" thickBot="1" x14ac:dyDescent="0.3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</row>
    <row r="93" spans="1:25" s="5" customFormat="1" ht="12.6" thickBot="1" x14ac:dyDescent="0.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</row>
    <row r="94" spans="1:25" s="5" customFormat="1" ht="12.6" thickBot="1" x14ac:dyDescent="0.3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</row>
    <row r="95" spans="1:25" s="5" customFormat="1" ht="12.6" thickBot="1" x14ac:dyDescent="0.3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</row>
    <row r="96" spans="1:25" s="5" customFormat="1" ht="12.6" thickBot="1" x14ac:dyDescent="0.3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</row>
    <row r="97" spans="1:25" s="5" customFormat="1" ht="12.6" thickBot="1" x14ac:dyDescent="0.3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</row>
    <row r="98" spans="1:25" s="5" customFormat="1" ht="12.6" thickBot="1" x14ac:dyDescent="0.3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</row>
    <row r="99" spans="1:25" s="5" customFormat="1" ht="12.6" thickBot="1" x14ac:dyDescent="0.3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</row>
    <row r="100" spans="1:25" s="5" customFormat="1" ht="12.6" thickBot="1" x14ac:dyDescent="0.3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</row>
    <row r="101" spans="1:25" s="5" customFormat="1" ht="12.6" thickBot="1" x14ac:dyDescent="0.3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</row>
    <row r="102" spans="1:25" s="5" customFormat="1" ht="12.6" thickBot="1" x14ac:dyDescent="0.3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</row>
    <row r="103" spans="1:25" s="5" customFormat="1" ht="12.6" thickBot="1" x14ac:dyDescent="0.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</row>
    <row r="104" spans="1:25" s="5" customFormat="1" ht="12.6" thickBot="1" x14ac:dyDescent="0.3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</row>
    <row r="105" spans="1:25" s="5" customFormat="1" ht="12.6" thickBot="1" x14ac:dyDescent="0.3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</row>
    <row r="106" spans="1:25" s="5" customFormat="1" ht="12.6" thickBot="1" x14ac:dyDescent="0.3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</row>
    <row r="107" spans="1:25" s="5" customFormat="1" ht="12.6" thickBot="1" x14ac:dyDescent="0.3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</row>
    <row r="108" spans="1:25" s="5" customFormat="1" ht="12.6" thickBot="1" x14ac:dyDescent="0.3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</row>
    <row r="109" spans="1:25" s="5" customFormat="1" ht="12.6" thickBot="1" x14ac:dyDescent="0.3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</row>
    <row r="110" spans="1:25" s="5" customFormat="1" ht="12.6" thickBot="1" x14ac:dyDescent="0.3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</row>
    <row r="111" spans="1:25" s="5" customFormat="1" ht="12.6" thickBot="1" x14ac:dyDescent="0.3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</row>
    <row r="112" spans="1:25" s="5" customFormat="1" ht="12.6" thickBot="1" x14ac:dyDescent="0.3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</row>
    <row r="113" spans="1:25" s="5" customFormat="1" ht="12.6" thickBot="1" x14ac:dyDescent="0.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</row>
    <row r="114" spans="1:25" s="5" customFormat="1" ht="12.6" thickBot="1" x14ac:dyDescent="0.3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</row>
    <row r="115" spans="1:25" s="5" customFormat="1" ht="12.6" thickBot="1" x14ac:dyDescent="0.3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</row>
    <row r="116" spans="1:25" s="5" customFormat="1" ht="12.6" thickBot="1" x14ac:dyDescent="0.3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</row>
    <row r="117" spans="1:25" s="5" customFormat="1" ht="12.6" thickBot="1" x14ac:dyDescent="0.3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</row>
    <row r="118" spans="1:25" s="5" customFormat="1" ht="12.6" thickBot="1" x14ac:dyDescent="0.3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</row>
    <row r="119" spans="1:25" s="5" customFormat="1" ht="12.6" thickBot="1" x14ac:dyDescent="0.3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</row>
    <row r="120" spans="1:25" s="5" customFormat="1" ht="12.6" thickBot="1" x14ac:dyDescent="0.3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</row>
    <row r="121" spans="1:25" s="5" customFormat="1" ht="12.6" thickBot="1" x14ac:dyDescent="0.3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</row>
    <row r="122" spans="1:25" s="5" customFormat="1" ht="12.6" thickBot="1" x14ac:dyDescent="0.3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</row>
    <row r="123" spans="1:25" s="5" customFormat="1" ht="12.6" thickBot="1" x14ac:dyDescent="0.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</row>
    <row r="124" spans="1:25" s="5" customFormat="1" ht="12.6" thickBot="1" x14ac:dyDescent="0.3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</row>
    <row r="125" spans="1:25" s="5" customFormat="1" ht="12.6" thickBot="1" x14ac:dyDescent="0.3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</row>
    <row r="126" spans="1:25" s="5" customFormat="1" ht="12.6" thickBot="1" x14ac:dyDescent="0.3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</row>
    <row r="127" spans="1:25" s="5" customFormat="1" ht="12.6" thickBot="1" x14ac:dyDescent="0.3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</row>
    <row r="128" spans="1:25" s="5" customFormat="1" ht="12.6" thickBot="1" x14ac:dyDescent="0.3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</row>
    <row r="129" spans="1:25" s="5" customFormat="1" ht="12.6" thickBot="1" x14ac:dyDescent="0.3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</row>
    <row r="130" spans="1:25" s="5" customFormat="1" ht="12.6" thickBot="1" x14ac:dyDescent="0.3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</row>
    <row r="131" spans="1:25" s="5" customFormat="1" ht="12.6" thickBot="1" x14ac:dyDescent="0.3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</row>
    <row r="132" spans="1:25" s="5" customFormat="1" ht="12.6" thickBot="1" x14ac:dyDescent="0.3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</row>
    <row r="133" spans="1:25" s="5" customFormat="1" ht="12.6" thickBot="1" x14ac:dyDescent="0.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</row>
    <row r="134" spans="1:25" s="5" customFormat="1" ht="12.6" thickBot="1" x14ac:dyDescent="0.3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</row>
    <row r="135" spans="1:25" s="5" customFormat="1" ht="12.6" thickBot="1" x14ac:dyDescent="0.3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</row>
    <row r="136" spans="1:25" s="5" customFormat="1" ht="12.6" thickBot="1" x14ac:dyDescent="0.3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</row>
    <row r="137" spans="1:25" s="5" customFormat="1" ht="12.6" thickBot="1" x14ac:dyDescent="0.3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</row>
    <row r="138" spans="1:25" s="5" customFormat="1" ht="12.6" thickBot="1" x14ac:dyDescent="0.3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</row>
    <row r="139" spans="1:25" s="5" customFormat="1" ht="12.6" thickBot="1" x14ac:dyDescent="0.3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</row>
    <row r="140" spans="1:25" s="5" customFormat="1" ht="12.6" thickBot="1" x14ac:dyDescent="0.3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</row>
    <row r="141" spans="1:25" s="5" customFormat="1" ht="12.6" thickBot="1" x14ac:dyDescent="0.3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</row>
    <row r="142" spans="1:25" s="5" customFormat="1" ht="12.6" thickBot="1" x14ac:dyDescent="0.3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</row>
    <row r="143" spans="1:25" s="5" customFormat="1" ht="12.6" thickBot="1" x14ac:dyDescent="0.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</row>
    <row r="144" spans="1:25" s="5" customFormat="1" ht="12.6" thickBot="1" x14ac:dyDescent="0.3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</row>
    <row r="145" spans="1:25" s="5" customFormat="1" ht="12.6" thickBot="1" x14ac:dyDescent="0.3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</row>
    <row r="146" spans="1:25" s="5" customFormat="1" ht="12.6" thickBot="1" x14ac:dyDescent="0.3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</row>
    <row r="147" spans="1:25" s="5" customFormat="1" ht="12.6" thickBot="1" x14ac:dyDescent="0.3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</row>
    <row r="148" spans="1:25" s="5" customFormat="1" ht="12.6" thickBot="1" x14ac:dyDescent="0.3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</row>
    <row r="149" spans="1:25" s="5" customFormat="1" ht="12.6" thickBot="1" x14ac:dyDescent="0.3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</row>
    <row r="150" spans="1:25" s="5" customFormat="1" ht="12.6" thickBot="1" x14ac:dyDescent="0.3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</row>
    <row r="151" spans="1:25" s="5" customFormat="1" ht="12.6" thickBot="1" x14ac:dyDescent="0.3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</row>
    <row r="152" spans="1:25" s="5" customFormat="1" ht="12.6" thickBot="1" x14ac:dyDescent="0.3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</row>
    <row r="153" spans="1:25" s="5" customFormat="1" ht="12.6" thickBot="1" x14ac:dyDescent="0.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</row>
    <row r="154" spans="1:25" s="5" customFormat="1" ht="12.6" thickBot="1" x14ac:dyDescent="0.3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</row>
    <row r="155" spans="1:25" s="5" customFormat="1" ht="12.6" thickBot="1" x14ac:dyDescent="0.3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</row>
    <row r="156" spans="1:25" s="5" customFormat="1" ht="12.6" thickBot="1" x14ac:dyDescent="0.3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</row>
    <row r="157" spans="1:25" s="5" customFormat="1" ht="12.6" thickBot="1" x14ac:dyDescent="0.3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</row>
    <row r="158" spans="1:25" s="5" customFormat="1" ht="12.6" thickBot="1" x14ac:dyDescent="0.3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</row>
    <row r="159" spans="1:25" s="5" customFormat="1" ht="12.6" thickBot="1" x14ac:dyDescent="0.3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</row>
    <row r="160" spans="1:25" s="5" customFormat="1" ht="12.6" thickBot="1" x14ac:dyDescent="0.3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</row>
    <row r="161" spans="1:25" s="5" customFormat="1" ht="12.6" thickBot="1" x14ac:dyDescent="0.3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</row>
    <row r="162" spans="1:25" s="5" customFormat="1" ht="12.6" thickBot="1" x14ac:dyDescent="0.3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</row>
    <row r="163" spans="1:25" s="5" customFormat="1" ht="12.6" thickBot="1" x14ac:dyDescent="0.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</row>
    <row r="164" spans="1:25" s="5" customFormat="1" ht="12.6" thickBot="1" x14ac:dyDescent="0.3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</row>
    <row r="165" spans="1:25" s="5" customFormat="1" ht="12.6" thickBot="1" x14ac:dyDescent="0.3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</row>
    <row r="166" spans="1:25" s="5" customFormat="1" ht="12.6" thickBot="1" x14ac:dyDescent="0.3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</row>
    <row r="167" spans="1:25" s="5" customFormat="1" ht="12.6" thickBot="1" x14ac:dyDescent="0.3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</row>
    <row r="168" spans="1:25" s="5" customFormat="1" ht="12.6" thickBot="1" x14ac:dyDescent="0.3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</row>
    <row r="169" spans="1:25" s="5" customFormat="1" ht="12.6" thickBot="1" x14ac:dyDescent="0.3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</row>
    <row r="170" spans="1:25" s="5" customFormat="1" ht="12.6" thickBot="1" x14ac:dyDescent="0.3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</row>
    <row r="171" spans="1:25" s="5" customFormat="1" ht="12.6" thickBot="1" x14ac:dyDescent="0.3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</row>
    <row r="172" spans="1:25" s="5" customFormat="1" ht="12.6" thickBot="1" x14ac:dyDescent="0.3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</row>
    <row r="173" spans="1:25" s="5" customFormat="1" ht="12.6" thickBot="1" x14ac:dyDescent="0.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</row>
    <row r="174" spans="1:25" s="5" customFormat="1" ht="12.6" thickBot="1" x14ac:dyDescent="0.3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</row>
    <row r="175" spans="1:25" s="5" customFormat="1" ht="12.6" thickBot="1" x14ac:dyDescent="0.3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</row>
    <row r="176" spans="1:25" s="5" customFormat="1" ht="12.6" thickBot="1" x14ac:dyDescent="0.3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</row>
    <row r="177" spans="1:25" s="5" customFormat="1" ht="12.6" thickBot="1" x14ac:dyDescent="0.3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</row>
    <row r="178" spans="1:25" s="5" customFormat="1" ht="12.6" thickBot="1" x14ac:dyDescent="0.3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</row>
    <row r="179" spans="1:25" s="5" customFormat="1" ht="12.6" thickBot="1" x14ac:dyDescent="0.3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</row>
    <row r="180" spans="1:25" s="5" customFormat="1" ht="12.6" thickBot="1" x14ac:dyDescent="0.3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</row>
    <row r="181" spans="1:25" s="5" customFormat="1" ht="12.6" thickBot="1" x14ac:dyDescent="0.3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</row>
    <row r="182" spans="1:25" s="5" customFormat="1" ht="12.6" thickBot="1" x14ac:dyDescent="0.3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</row>
    <row r="183" spans="1:25" s="5" customFormat="1" ht="12.6" thickBot="1" x14ac:dyDescent="0.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</row>
    <row r="184" spans="1:25" s="5" customFormat="1" ht="12.6" thickBot="1" x14ac:dyDescent="0.3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</row>
    <row r="185" spans="1:25" s="5" customFormat="1" ht="12.6" thickBot="1" x14ac:dyDescent="0.3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</row>
    <row r="186" spans="1:25" s="5" customFormat="1" ht="12.6" thickBot="1" x14ac:dyDescent="0.3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</row>
    <row r="187" spans="1:25" s="5" customFormat="1" ht="12.6" thickBot="1" x14ac:dyDescent="0.3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</row>
    <row r="188" spans="1:25" s="5" customFormat="1" ht="12.6" thickBot="1" x14ac:dyDescent="0.3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</row>
    <row r="189" spans="1:25" s="5" customFormat="1" ht="12.6" thickBot="1" x14ac:dyDescent="0.3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</row>
    <row r="190" spans="1:25" s="5" customFormat="1" ht="12.6" thickBot="1" x14ac:dyDescent="0.3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</row>
    <row r="191" spans="1:25" s="5" customFormat="1" ht="12.6" thickBot="1" x14ac:dyDescent="0.3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</row>
    <row r="192" spans="1:25" s="5" customFormat="1" ht="12.6" thickBot="1" x14ac:dyDescent="0.3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</row>
    <row r="193" spans="1:25" s="5" customFormat="1" ht="12.6" thickBot="1" x14ac:dyDescent="0.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</row>
    <row r="194" spans="1:25" s="5" customFormat="1" ht="12.6" thickBot="1" x14ac:dyDescent="0.3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</row>
    <row r="195" spans="1:25" s="5" customFormat="1" ht="12.6" thickBot="1" x14ac:dyDescent="0.3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</row>
    <row r="196" spans="1:25" s="5" customFormat="1" ht="12.6" thickBot="1" x14ac:dyDescent="0.3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</row>
    <row r="197" spans="1:25" s="5" customFormat="1" ht="12.6" thickBot="1" x14ac:dyDescent="0.3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</row>
    <row r="198" spans="1:25" s="5" customFormat="1" ht="12.6" thickBot="1" x14ac:dyDescent="0.3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</row>
    <row r="199" spans="1:25" s="5" customFormat="1" ht="12.6" thickBot="1" x14ac:dyDescent="0.3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</row>
    <row r="200" spans="1:25" s="5" customFormat="1" ht="12.6" thickBot="1" x14ac:dyDescent="0.3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</row>
    <row r="201" spans="1:25" s="5" customFormat="1" ht="12.6" thickBot="1" x14ac:dyDescent="0.3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</row>
    <row r="202" spans="1:25" s="5" customFormat="1" ht="12.6" thickBot="1" x14ac:dyDescent="0.3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</row>
    <row r="203" spans="1:25" s="5" customFormat="1" ht="12.6" thickBot="1" x14ac:dyDescent="0.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</row>
    <row r="204" spans="1:25" s="5" customFormat="1" ht="12.6" thickBot="1" x14ac:dyDescent="0.3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</row>
    <row r="205" spans="1:25" s="5" customFormat="1" ht="12.6" thickBot="1" x14ac:dyDescent="0.3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</row>
    <row r="206" spans="1:25" s="5" customFormat="1" ht="12.6" thickBot="1" x14ac:dyDescent="0.3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</row>
    <row r="207" spans="1:25" s="5" customFormat="1" ht="12.6" thickBot="1" x14ac:dyDescent="0.3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</row>
    <row r="208" spans="1:25" s="5" customFormat="1" ht="12.6" thickBot="1" x14ac:dyDescent="0.3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</row>
    <row r="209" spans="1:25" s="5" customFormat="1" ht="12.6" thickBot="1" x14ac:dyDescent="0.3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</row>
    <row r="210" spans="1:25" s="5" customFormat="1" ht="12.6" thickBot="1" x14ac:dyDescent="0.3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</row>
    <row r="211" spans="1:25" s="5" customFormat="1" ht="12.6" thickBot="1" x14ac:dyDescent="0.3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</row>
    <row r="212" spans="1:25" s="5" customFormat="1" ht="12.6" thickBot="1" x14ac:dyDescent="0.3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</row>
    <row r="213" spans="1:25" s="5" customFormat="1" ht="12.6" thickBot="1" x14ac:dyDescent="0.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</row>
    <row r="214" spans="1:25" s="5" customFormat="1" ht="12.6" thickBot="1" x14ac:dyDescent="0.3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</row>
    <row r="215" spans="1:25" s="5" customFormat="1" ht="12.6" thickBot="1" x14ac:dyDescent="0.3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</row>
    <row r="216" spans="1:25" s="5" customFormat="1" ht="12.6" thickBot="1" x14ac:dyDescent="0.3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</row>
    <row r="217" spans="1:25" s="5" customFormat="1" ht="12.6" thickBot="1" x14ac:dyDescent="0.3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</row>
    <row r="218" spans="1:25" s="5" customFormat="1" ht="12.6" thickBot="1" x14ac:dyDescent="0.3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</row>
    <row r="219" spans="1:25" s="5" customFormat="1" ht="12.6" thickBot="1" x14ac:dyDescent="0.3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</row>
    <row r="220" spans="1:25" s="5" customFormat="1" ht="12.6" thickBot="1" x14ac:dyDescent="0.3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</row>
    <row r="221" spans="1:25" s="5" customFormat="1" ht="12.6" thickBot="1" x14ac:dyDescent="0.3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</row>
    <row r="222" spans="1:25" s="5" customFormat="1" ht="12.6" thickBot="1" x14ac:dyDescent="0.3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</row>
    <row r="223" spans="1:25" s="5" customFormat="1" ht="12.6" thickBot="1" x14ac:dyDescent="0.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</row>
    <row r="224" spans="1:25" s="5" customFormat="1" ht="12.6" thickBot="1" x14ac:dyDescent="0.3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</row>
    <row r="225" spans="1:25" s="5" customFormat="1" ht="12.6" thickBot="1" x14ac:dyDescent="0.3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</row>
    <row r="226" spans="1:25" s="5" customFormat="1" ht="12.6" thickBot="1" x14ac:dyDescent="0.3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</row>
    <row r="227" spans="1:25" s="5" customFormat="1" ht="12.6" thickBot="1" x14ac:dyDescent="0.3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</row>
    <row r="228" spans="1:25" s="5" customFormat="1" ht="12.6" thickBot="1" x14ac:dyDescent="0.3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</row>
    <row r="229" spans="1:25" s="5" customFormat="1" ht="12.6" thickBot="1" x14ac:dyDescent="0.3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</row>
    <row r="230" spans="1:25" s="5" customFormat="1" ht="12.6" thickBot="1" x14ac:dyDescent="0.3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</row>
    <row r="231" spans="1:25" s="5" customFormat="1" ht="12.6" thickBot="1" x14ac:dyDescent="0.3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</row>
    <row r="232" spans="1:25" s="5" customFormat="1" ht="12.6" thickBot="1" x14ac:dyDescent="0.3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</row>
    <row r="233" spans="1:25" s="5" customFormat="1" ht="12.6" thickBot="1" x14ac:dyDescent="0.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</row>
    <row r="234" spans="1:25" s="5" customFormat="1" ht="12.6" thickBot="1" x14ac:dyDescent="0.3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</row>
    <row r="235" spans="1:25" s="5" customFormat="1" ht="12.6" thickBot="1" x14ac:dyDescent="0.3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</row>
    <row r="236" spans="1:25" s="5" customFormat="1" ht="12.6" thickBot="1" x14ac:dyDescent="0.3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</row>
    <row r="237" spans="1:25" s="5" customFormat="1" ht="12.6" thickBot="1" x14ac:dyDescent="0.3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</row>
    <row r="238" spans="1:25" s="5" customFormat="1" ht="12.6" thickBot="1" x14ac:dyDescent="0.3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</row>
    <row r="239" spans="1:25" s="5" customFormat="1" ht="12.6" thickBot="1" x14ac:dyDescent="0.3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</row>
    <row r="240" spans="1:25" s="5" customFormat="1" ht="12.6" thickBot="1" x14ac:dyDescent="0.3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</row>
    <row r="241" spans="1:25" s="5" customFormat="1" ht="12.6" thickBot="1" x14ac:dyDescent="0.3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</row>
    <row r="242" spans="1:25" s="5" customFormat="1" ht="12.6" thickBot="1" x14ac:dyDescent="0.3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</row>
    <row r="243" spans="1:25" s="5" customFormat="1" ht="12.6" thickBot="1" x14ac:dyDescent="0.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</row>
    <row r="244" spans="1:25" s="5" customFormat="1" ht="12.6" thickBot="1" x14ac:dyDescent="0.3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</row>
    <row r="245" spans="1:25" s="5" customFormat="1" ht="12.6" thickBot="1" x14ac:dyDescent="0.3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</row>
    <row r="246" spans="1:25" s="5" customFormat="1" ht="12.6" thickBot="1" x14ac:dyDescent="0.3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</row>
    <row r="247" spans="1:25" s="5" customFormat="1" ht="12.6" thickBot="1" x14ac:dyDescent="0.3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</row>
    <row r="248" spans="1:25" s="5" customFormat="1" ht="12.6" thickBot="1" x14ac:dyDescent="0.3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</row>
    <row r="249" spans="1:25" s="5" customFormat="1" ht="12.6" thickBot="1" x14ac:dyDescent="0.3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</row>
    <row r="250" spans="1:25" s="5" customFormat="1" ht="12.6" thickBot="1" x14ac:dyDescent="0.3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</row>
    <row r="251" spans="1:25" s="5" customFormat="1" ht="12.6" thickBot="1" x14ac:dyDescent="0.3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</row>
    <row r="252" spans="1:25" s="5" customFormat="1" ht="12.6" thickBot="1" x14ac:dyDescent="0.3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</row>
    <row r="253" spans="1:25" s="5" customFormat="1" ht="12.6" thickBot="1" x14ac:dyDescent="0.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</row>
    <row r="254" spans="1:25" s="5" customFormat="1" ht="12.6" thickBot="1" x14ac:dyDescent="0.3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</row>
    <row r="255" spans="1:25" s="5" customFormat="1" ht="12.6" thickBot="1" x14ac:dyDescent="0.3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</row>
    <row r="256" spans="1:25" s="5" customFormat="1" ht="12.6" thickBot="1" x14ac:dyDescent="0.3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</row>
    <row r="257" spans="1:25" s="5" customFormat="1" ht="12.6" thickBot="1" x14ac:dyDescent="0.3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</row>
    <row r="258" spans="1:25" s="5" customFormat="1" ht="12.6" thickBot="1" x14ac:dyDescent="0.3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</row>
    <row r="259" spans="1:25" s="5" customFormat="1" ht="12.6" thickBot="1" x14ac:dyDescent="0.3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</row>
    <row r="260" spans="1:25" s="5" customFormat="1" ht="12.6" thickBot="1" x14ac:dyDescent="0.3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</row>
    <row r="261" spans="1:25" s="5" customFormat="1" ht="12.6" thickBot="1" x14ac:dyDescent="0.3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</row>
    <row r="262" spans="1:25" s="5" customFormat="1" ht="12.6" thickBot="1" x14ac:dyDescent="0.3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</row>
    <row r="263" spans="1:25" s="5" customFormat="1" ht="12.6" thickBot="1" x14ac:dyDescent="0.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</row>
    <row r="264" spans="1:25" s="5" customFormat="1" ht="12.6" thickBot="1" x14ac:dyDescent="0.3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</row>
    <row r="265" spans="1:25" s="5" customFormat="1" ht="12.6" thickBot="1" x14ac:dyDescent="0.3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</row>
    <row r="266" spans="1:25" s="5" customFormat="1" ht="12.6" thickBot="1" x14ac:dyDescent="0.3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</row>
    <row r="267" spans="1:25" s="5" customFormat="1" ht="12.6" thickBot="1" x14ac:dyDescent="0.3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</row>
    <row r="268" spans="1:25" s="5" customFormat="1" ht="12.6" thickBot="1" x14ac:dyDescent="0.3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</row>
    <row r="269" spans="1:25" s="5" customFormat="1" ht="12.6" thickBot="1" x14ac:dyDescent="0.3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</row>
    <row r="270" spans="1:25" s="5" customFormat="1" ht="12.6" thickBot="1" x14ac:dyDescent="0.3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</row>
    <row r="271" spans="1:25" s="5" customFormat="1" ht="12.6" thickBot="1" x14ac:dyDescent="0.3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</row>
    <row r="272" spans="1:25" s="5" customFormat="1" ht="12.6" thickBot="1" x14ac:dyDescent="0.3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</row>
    <row r="273" spans="1:25" s="5" customFormat="1" ht="12.6" thickBot="1" x14ac:dyDescent="0.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</row>
    <row r="274" spans="1:25" s="5" customFormat="1" ht="12.6" thickBot="1" x14ac:dyDescent="0.3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</row>
    <row r="275" spans="1:25" s="5" customFormat="1" ht="12.6" thickBot="1" x14ac:dyDescent="0.3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</row>
    <row r="276" spans="1:25" s="5" customFormat="1" ht="12.6" thickBot="1" x14ac:dyDescent="0.3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</row>
    <row r="277" spans="1:25" s="5" customFormat="1" ht="12.6" thickBot="1" x14ac:dyDescent="0.3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</row>
    <row r="278" spans="1:25" s="5" customFormat="1" ht="12.6" thickBot="1" x14ac:dyDescent="0.3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</row>
    <row r="279" spans="1:25" s="5" customFormat="1" ht="12.6" thickBot="1" x14ac:dyDescent="0.3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</row>
    <row r="280" spans="1:25" s="5" customFormat="1" ht="12.6" thickBot="1" x14ac:dyDescent="0.3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</row>
    <row r="281" spans="1:25" s="5" customFormat="1" ht="12.6" thickBot="1" x14ac:dyDescent="0.3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</row>
    <row r="282" spans="1:25" s="5" customFormat="1" ht="12.6" thickBot="1" x14ac:dyDescent="0.3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</row>
    <row r="283" spans="1:25" s="5" customFormat="1" ht="12.6" thickBot="1" x14ac:dyDescent="0.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</row>
    <row r="284" spans="1:25" s="5" customFormat="1" ht="12.6" thickBot="1" x14ac:dyDescent="0.3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</row>
    <row r="285" spans="1:25" s="5" customFormat="1" ht="12.6" thickBot="1" x14ac:dyDescent="0.3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</row>
    <row r="286" spans="1:25" s="5" customFormat="1" ht="12.6" thickBot="1" x14ac:dyDescent="0.3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</row>
    <row r="287" spans="1:25" s="5" customFormat="1" ht="12.6" thickBot="1" x14ac:dyDescent="0.3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</row>
    <row r="288" spans="1:25" s="5" customFormat="1" ht="12.6" thickBot="1" x14ac:dyDescent="0.3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</row>
    <row r="289" spans="1:25" s="5" customFormat="1" ht="12.6" thickBot="1" x14ac:dyDescent="0.3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</row>
    <row r="290" spans="1:25" s="5" customFormat="1" ht="12.6" thickBot="1" x14ac:dyDescent="0.3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</row>
    <row r="291" spans="1:25" s="5" customFormat="1" ht="12.6" thickBot="1" x14ac:dyDescent="0.3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</row>
    <row r="292" spans="1:25" s="5" customFormat="1" ht="12.6" thickBot="1" x14ac:dyDescent="0.3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</row>
    <row r="293" spans="1:25" s="5" customFormat="1" ht="12.6" thickBot="1" x14ac:dyDescent="0.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</row>
    <row r="294" spans="1:25" s="5" customFormat="1" ht="12.6" thickBot="1" x14ac:dyDescent="0.3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</row>
    <row r="295" spans="1:25" s="5" customFormat="1" ht="12.6" thickBot="1" x14ac:dyDescent="0.3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</row>
    <row r="296" spans="1:25" s="5" customFormat="1" ht="12.6" thickBot="1" x14ac:dyDescent="0.3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</row>
    <row r="297" spans="1:25" s="5" customFormat="1" ht="12.6" thickBot="1" x14ac:dyDescent="0.3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</row>
    <row r="298" spans="1:25" s="5" customFormat="1" ht="12.6" thickBot="1" x14ac:dyDescent="0.3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</row>
    <row r="299" spans="1:25" s="5" customFormat="1" ht="12.6" thickBot="1" x14ac:dyDescent="0.3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</row>
    <row r="300" spans="1:25" s="5" customFormat="1" ht="12.6" thickBot="1" x14ac:dyDescent="0.3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</row>
    <row r="301" spans="1:25" s="5" customFormat="1" ht="12.6" thickBot="1" x14ac:dyDescent="0.3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</row>
    <row r="302" spans="1:25" s="5" customFormat="1" ht="12.6" thickBot="1" x14ac:dyDescent="0.3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</row>
    <row r="303" spans="1:25" s="5" customFormat="1" ht="12.6" thickBot="1" x14ac:dyDescent="0.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</row>
    <row r="304" spans="1:25" s="5" customFormat="1" ht="12.6" thickBot="1" x14ac:dyDescent="0.3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</row>
    <row r="305" spans="1:25" s="5" customFormat="1" ht="12.6" thickBot="1" x14ac:dyDescent="0.3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</row>
    <row r="306" spans="1:25" s="5" customFormat="1" ht="12.6" thickBot="1" x14ac:dyDescent="0.3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</row>
    <row r="307" spans="1:25" s="5" customFormat="1" ht="12.6" thickBot="1" x14ac:dyDescent="0.3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</row>
    <row r="308" spans="1:25" s="5" customFormat="1" ht="12.6" thickBot="1" x14ac:dyDescent="0.3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</row>
    <row r="309" spans="1:25" s="5" customFormat="1" ht="12.6" thickBot="1" x14ac:dyDescent="0.3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</row>
    <row r="310" spans="1:25" s="5" customFormat="1" ht="12.6" thickBot="1" x14ac:dyDescent="0.3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</row>
    <row r="311" spans="1:25" s="5" customFormat="1" ht="12.6" thickBot="1" x14ac:dyDescent="0.3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</row>
    <row r="312" spans="1:25" s="5" customFormat="1" ht="12.6" thickBot="1" x14ac:dyDescent="0.3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</row>
    <row r="313" spans="1:25" s="5" customFormat="1" ht="12.6" thickBot="1" x14ac:dyDescent="0.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</row>
    <row r="314" spans="1:25" s="5" customFormat="1" ht="12.6" thickBot="1" x14ac:dyDescent="0.3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</row>
    <row r="315" spans="1:25" s="5" customFormat="1" ht="12.6" thickBot="1" x14ac:dyDescent="0.3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</row>
    <row r="316" spans="1:25" s="5" customFormat="1" ht="12.6" thickBot="1" x14ac:dyDescent="0.3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</row>
    <row r="317" spans="1:25" s="5" customFormat="1" ht="12.6" thickBot="1" x14ac:dyDescent="0.3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</row>
    <row r="318" spans="1:25" s="5" customFormat="1" ht="12.6" thickBot="1" x14ac:dyDescent="0.3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</row>
    <row r="319" spans="1:25" s="5" customFormat="1" ht="12.6" thickBot="1" x14ac:dyDescent="0.3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</row>
    <row r="320" spans="1:25" s="5" customFormat="1" ht="12.6" thickBot="1" x14ac:dyDescent="0.3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</row>
    <row r="321" spans="1:25" s="5" customFormat="1" ht="12.6" thickBot="1" x14ac:dyDescent="0.3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</row>
    <row r="322" spans="1:25" s="5" customFormat="1" ht="12.6" thickBot="1" x14ac:dyDescent="0.3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</row>
    <row r="323" spans="1:25" s="5" customFormat="1" ht="12.6" thickBot="1" x14ac:dyDescent="0.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</row>
    <row r="324" spans="1:25" s="5" customFormat="1" ht="12.6" thickBot="1" x14ac:dyDescent="0.3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</row>
    <row r="325" spans="1:25" s="5" customFormat="1" ht="12.6" thickBot="1" x14ac:dyDescent="0.3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</row>
    <row r="326" spans="1:25" s="5" customFormat="1" ht="12.6" thickBot="1" x14ac:dyDescent="0.3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</row>
    <row r="327" spans="1:25" s="5" customFormat="1" ht="12.6" thickBot="1" x14ac:dyDescent="0.3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</row>
    <row r="328" spans="1:25" s="5" customFormat="1" ht="12.6" thickBot="1" x14ac:dyDescent="0.3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</row>
    <row r="329" spans="1:25" s="5" customFormat="1" ht="12.6" thickBot="1" x14ac:dyDescent="0.3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</row>
    <row r="330" spans="1:25" s="5" customFormat="1" ht="12.6" thickBot="1" x14ac:dyDescent="0.3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</row>
    <row r="331" spans="1:25" s="5" customFormat="1" ht="12.6" thickBot="1" x14ac:dyDescent="0.3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</row>
    <row r="332" spans="1:25" s="5" customFormat="1" ht="12.6" thickBot="1" x14ac:dyDescent="0.3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</row>
    <row r="333" spans="1:25" s="5" customFormat="1" ht="12.6" thickBot="1" x14ac:dyDescent="0.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</row>
    <row r="334" spans="1:25" s="5" customFormat="1" ht="12.6" thickBot="1" x14ac:dyDescent="0.3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</row>
    <row r="335" spans="1:25" s="5" customFormat="1" ht="12.6" thickBot="1" x14ac:dyDescent="0.3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</row>
    <row r="336" spans="1:25" s="5" customFormat="1" ht="12.6" thickBot="1" x14ac:dyDescent="0.3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</row>
    <row r="337" spans="1:25" s="5" customFormat="1" ht="12.6" thickBot="1" x14ac:dyDescent="0.3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</row>
    <row r="338" spans="1:25" s="5" customFormat="1" ht="12.6" thickBot="1" x14ac:dyDescent="0.3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</row>
    <row r="339" spans="1:25" s="5" customFormat="1" ht="12.6" thickBot="1" x14ac:dyDescent="0.3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</row>
    <row r="340" spans="1:25" s="5" customFormat="1" ht="12.6" thickBot="1" x14ac:dyDescent="0.3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</row>
    <row r="341" spans="1:25" s="5" customFormat="1" ht="12.6" thickBot="1" x14ac:dyDescent="0.3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</row>
    <row r="342" spans="1:25" s="5" customFormat="1" ht="12.6" thickBot="1" x14ac:dyDescent="0.3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</row>
    <row r="343" spans="1:25" s="5" customFormat="1" ht="12.6" thickBot="1" x14ac:dyDescent="0.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</row>
    <row r="344" spans="1:25" s="5" customFormat="1" ht="12.6" thickBot="1" x14ac:dyDescent="0.3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</row>
    <row r="345" spans="1:25" s="5" customFormat="1" ht="12.6" thickBot="1" x14ac:dyDescent="0.3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</row>
    <row r="346" spans="1:25" s="5" customFormat="1" ht="12.6" thickBot="1" x14ac:dyDescent="0.3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</row>
    <row r="347" spans="1:25" s="5" customFormat="1" ht="12.6" thickBot="1" x14ac:dyDescent="0.3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</row>
    <row r="348" spans="1:25" s="5" customFormat="1" ht="12.6" thickBot="1" x14ac:dyDescent="0.3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</row>
    <row r="349" spans="1:25" s="5" customFormat="1" ht="12.6" thickBot="1" x14ac:dyDescent="0.3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</row>
    <row r="350" spans="1:25" s="5" customFormat="1" ht="12.6" thickBot="1" x14ac:dyDescent="0.3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</row>
    <row r="351" spans="1:25" s="5" customFormat="1" ht="12.6" thickBot="1" x14ac:dyDescent="0.3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</row>
    <row r="352" spans="1:25" s="5" customFormat="1" ht="12.6" thickBot="1" x14ac:dyDescent="0.3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</row>
    <row r="353" spans="1:25" s="5" customFormat="1" ht="12.6" thickBot="1" x14ac:dyDescent="0.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</row>
    <row r="354" spans="1:25" s="5" customFormat="1" ht="12.6" thickBot="1" x14ac:dyDescent="0.3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</row>
    <row r="355" spans="1:25" s="5" customFormat="1" ht="12.6" thickBot="1" x14ac:dyDescent="0.3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</row>
    <row r="356" spans="1:25" s="5" customFormat="1" ht="12.6" thickBot="1" x14ac:dyDescent="0.3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</row>
    <row r="357" spans="1:25" s="5" customFormat="1" ht="12.6" thickBot="1" x14ac:dyDescent="0.3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</row>
    <row r="358" spans="1:25" s="5" customFormat="1" ht="12.6" thickBot="1" x14ac:dyDescent="0.3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</row>
    <row r="359" spans="1:25" s="5" customFormat="1" ht="12.6" thickBot="1" x14ac:dyDescent="0.3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</row>
    <row r="360" spans="1:25" s="5" customFormat="1" ht="12.6" thickBot="1" x14ac:dyDescent="0.3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</row>
    <row r="361" spans="1:25" s="5" customFormat="1" ht="12.6" thickBot="1" x14ac:dyDescent="0.3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</row>
    <row r="362" spans="1:25" s="5" customFormat="1" ht="12.6" thickBot="1" x14ac:dyDescent="0.3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</row>
    <row r="363" spans="1:25" s="5" customFormat="1" ht="12.6" thickBot="1" x14ac:dyDescent="0.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</row>
    <row r="364" spans="1:25" s="5" customFormat="1" ht="12.6" thickBot="1" x14ac:dyDescent="0.3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</row>
    <row r="365" spans="1:25" s="5" customFormat="1" ht="12.6" thickBot="1" x14ac:dyDescent="0.3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</row>
    <row r="366" spans="1:25" s="5" customFormat="1" ht="12.6" thickBot="1" x14ac:dyDescent="0.3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</row>
    <row r="367" spans="1:25" s="5" customFormat="1" ht="12.6" thickBot="1" x14ac:dyDescent="0.3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</row>
    <row r="368" spans="1:25" s="5" customFormat="1" ht="12.6" thickBot="1" x14ac:dyDescent="0.3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</row>
    <row r="369" spans="1:25" s="5" customFormat="1" ht="12.6" thickBot="1" x14ac:dyDescent="0.3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</row>
    <row r="370" spans="1:25" s="5" customFormat="1" ht="12.6" thickBot="1" x14ac:dyDescent="0.3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</row>
    <row r="371" spans="1:25" s="5" customFormat="1" ht="12.6" thickBot="1" x14ac:dyDescent="0.3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</row>
    <row r="372" spans="1:25" s="5" customFormat="1" ht="12.6" thickBot="1" x14ac:dyDescent="0.3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</row>
    <row r="373" spans="1:25" s="5" customFormat="1" ht="12.6" thickBot="1" x14ac:dyDescent="0.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</row>
    <row r="374" spans="1:25" s="5" customFormat="1" ht="12.6" thickBot="1" x14ac:dyDescent="0.3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</row>
    <row r="375" spans="1:25" s="5" customFormat="1" ht="12.6" thickBot="1" x14ac:dyDescent="0.3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</row>
    <row r="376" spans="1:25" s="5" customFormat="1" ht="12.6" thickBot="1" x14ac:dyDescent="0.3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</row>
    <row r="377" spans="1:25" s="5" customFormat="1" ht="12.6" thickBot="1" x14ac:dyDescent="0.3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</row>
    <row r="378" spans="1:25" s="5" customFormat="1" ht="12.6" thickBot="1" x14ac:dyDescent="0.3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</row>
    <row r="379" spans="1:25" s="5" customFormat="1" ht="12.6" thickBot="1" x14ac:dyDescent="0.3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</row>
    <row r="380" spans="1:25" s="5" customFormat="1" ht="12.6" thickBot="1" x14ac:dyDescent="0.3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</row>
    <row r="381" spans="1:25" s="5" customFormat="1" ht="12.6" thickBot="1" x14ac:dyDescent="0.3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</row>
    <row r="382" spans="1:25" s="5" customFormat="1" ht="12.6" thickBot="1" x14ac:dyDescent="0.3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</row>
    <row r="383" spans="1:25" s="5" customFormat="1" ht="12.6" thickBot="1" x14ac:dyDescent="0.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</row>
    <row r="384" spans="1:25" s="5" customFormat="1" ht="12.6" thickBot="1" x14ac:dyDescent="0.3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</row>
    <row r="385" spans="1:25" s="5" customFormat="1" ht="12.6" thickBot="1" x14ac:dyDescent="0.3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</row>
    <row r="386" spans="1:25" s="5" customFormat="1" ht="12.6" thickBot="1" x14ac:dyDescent="0.3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</row>
    <row r="387" spans="1:25" s="5" customFormat="1" ht="12.6" thickBot="1" x14ac:dyDescent="0.3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</row>
    <row r="388" spans="1:25" s="5" customFormat="1" ht="12.6" thickBot="1" x14ac:dyDescent="0.3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</row>
    <row r="389" spans="1:25" s="5" customFormat="1" ht="12.6" thickBot="1" x14ac:dyDescent="0.3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</row>
    <row r="390" spans="1:25" s="5" customFormat="1" ht="12.6" thickBot="1" x14ac:dyDescent="0.3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</row>
    <row r="391" spans="1:25" s="5" customFormat="1" ht="12.6" thickBot="1" x14ac:dyDescent="0.3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</row>
    <row r="392" spans="1:25" s="5" customFormat="1" ht="12.6" thickBot="1" x14ac:dyDescent="0.3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</row>
    <row r="393" spans="1:25" s="5" customFormat="1" ht="12.6" thickBot="1" x14ac:dyDescent="0.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</row>
    <row r="394" spans="1:25" s="5" customFormat="1" ht="12.6" thickBot="1" x14ac:dyDescent="0.3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</row>
    <row r="395" spans="1:25" s="5" customFormat="1" ht="12.6" thickBot="1" x14ac:dyDescent="0.3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</row>
    <row r="396" spans="1:25" s="5" customFormat="1" ht="12.6" thickBot="1" x14ac:dyDescent="0.3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</row>
    <row r="397" spans="1:25" s="5" customFormat="1" ht="12.6" thickBot="1" x14ac:dyDescent="0.3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</row>
    <row r="398" spans="1:25" s="5" customFormat="1" ht="12.6" thickBot="1" x14ac:dyDescent="0.3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</row>
    <row r="399" spans="1:25" s="5" customFormat="1" ht="12.6" thickBot="1" x14ac:dyDescent="0.3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</row>
    <row r="400" spans="1:25" s="5" customFormat="1" ht="12.6" thickBot="1" x14ac:dyDescent="0.3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</row>
    <row r="401" spans="1:25" s="5" customFormat="1" ht="12.6" thickBot="1" x14ac:dyDescent="0.3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</row>
    <row r="402" spans="1:25" s="5" customFormat="1" ht="12.6" thickBot="1" x14ac:dyDescent="0.3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</row>
    <row r="403" spans="1:25" s="5" customFormat="1" ht="12.6" thickBot="1" x14ac:dyDescent="0.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</row>
    <row r="404" spans="1:25" s="5" customFormat="1" ht="12.6" thickBot="1" x14ac:dyDescent="0.3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</row>
    <row r="405" spans="1:25" s="5" customFormat="1" ht="12.6" thickBot="1" x14ac:dyDescent="0.3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</row>
    <row r="406" spans="1:25" s="5" customFormat="1" ht="12.6" thickBot="1" x14ac:dyDescent="0.3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</row>
    <row r="407" spans="1:25" s="5" customFormat="1" ht="12.6" thickBot="1" x14ac:dyDescent="0.3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</row>
    <row r="408" spans="1:25" s="5" customFormat="1" ht="12.6" thickBot="1" x14ac:dyDescent="0.3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</row>
    <row r="409" spans="1:25" s="5" customFormat="1" ht="12.6" thickBot="1" x14ac:dyDescent="0.3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</row>
    <row r="410" spans="1:25" s="5" customFormat="1" ht="12.6" thickBot="1" x14ac:dyDescent="0.3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</row>
    <row r="411" spans="1:25" s="5" customFormat="1" ht="12.6" thickBot="1" x14ac:dyDescent="0.3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</row>
    <row r="412" spans="1:25" s="5" customFormat="1" ht="12.6" thickBot="1" x14ac:dyDescent="0.3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</row>
    <row r="413" spans="1:25" s="5" customFormat="1" ht="12.6" thickBot="1" x14ac:dyDescent="0.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</row>
    <row r="414" spans="1:25" s="5" customFormat="1" ht="12.6" thickBot="1" x14ac:dyDescent="0.3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</row>
    <row r="415" spans="1:25" s="5" customFormat="1" ht="12.6" thickBot="1" x14ac:dyDescent="0.3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</row>
    <row r="416" spans="1:25" s="5" customFormat="1" ht="12.6" thickBot="1" x14ac:dyDescent="0.3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</row>
    <row r="417" spans="1:25" s="5" customFormat="1" ht="12.6" thickBot="1" x14ac:dyDescent="0.3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</row>
    <row r="418" spans="1:25" s="5" customFormat="1" ht="12.6" thickBot="1" x14ac:dyDescent="0.3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</row>
    <row r="419" spans="1:25" s="5" customFormat="1" ht="12.6" thickBot="1" x14ac:dyDescent="0.3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</row>
    <row r="420" spans="1:25" s="5" customFormat="1" ht="12.6" thickBot="1" x14ac:dyDescent="0.3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</row>
    <row r="421" spans="1:25" s="5" customFormat="1" ht="12.6" thickBot="1" x14ac:dyDescent="0.3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</row>
    <row r="422" spans="1:25" s="5" customFormat="1" ht="12.6" thickBot="1" x14ac:dyDescent="0.3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</row>
    <row r="423" spans="1:25" s="5" customFormat="1" ht="12.6" thickBot="1" x14ac:dyDescent="0.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</row>
    <row r="424" spans="1:25" s="5" customFormat="1" ht="12.6" thickBot="1" x14ac:dyDescent="0.3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</row>
    <row r="425" spans="1:25" s="5" customFormat="1" ht="12.6" thickBot="1" x14ac:dyDescent="0.3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</row>
    <row r="426" spans="1:25" s="5" customFormat="1" ht="12.6" thickBot="1" x14ac:dyDescent="0.3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</row>
    <row r="427" spans="1:25" s="5" customFormat="1" ht="12.6" thickBot="1" x14ac:dyDescent="0.3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</row>
    <row r="428" spans="1:25" s="5" customFormat="1" ht="12.6" thickBot="1" x14ac:dyDescent="0.3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</row>
    <row r="429" spans="1:25" s="5" customFormat="1" ht="12.6" thickBot="1" x14ac:dyDescent="0.3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</row>
    <row r="430" spans="1:25" s="5" customFormat="1" ht="12.6" thickBot="1" x14ac:dyDescent="0.3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</row>
    <row r="431" spans="1:25" s="5" customFormat="1" ht="12.6" thickBot="1" x14ac:dyDescent="0.3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</row>
    <row r="432" spans="1:25" s="5" customFormat="1" ht="12.6" thickBot="1" x14ac:dyDescent="0.3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</row>
    <row r="433" spans="1:25" s="5" customFormat="1" ht="12.6" thickBot="1" x14ac:dyDescent="0.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</row>
    <row r="434" spans="1:25" s="5" customFormat="1" ht="12.6" thickBot="1" x14ac:dyDescent="0.3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</row>
    <row r="435" spans="1:25" s="5" customFormat="1" ht="12.6" thickBot="1" x14ac:dyDescent="0.3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</row>
    <row r="436" spans="1:25" s="5" customFormat="1" ht="12.6" thickBot="1" x14ac:dyDescent="0.3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</row>
    <row r="437" spans="1:25" s="5" customFormat="1" ht="12.6" thickBot="1" x14ac:dyDescent="0.3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</row>
    <row r="438" spans="1:25" s="5" customFormat="1" ht="12.6" thickBot="1" x14ac:dyDescent="0.3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</row>
    <row r="439" spans="1:25" s="5" customFormat="1" ht="12.6" thickBot="1" x14ac:dyDescent="0.3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</row>
    <row r="440" spans="1:25" s="5" customFormat="1" ht="12.6" thickBot="1" x14ac:dyDescent="0.3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</row>
    <row r="441" spans="1:25" s="5" customFormat="1" ht="12.6" thickBot="1" x14ac:dyDescent="0.3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</row>
    <row r="442" spans="1:25" s="5" customFormat="1" ht="12.6" thickBot="1" x14ac:dyDescent="0.3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</row>
    <row r="443" spans="1:25" s="5" customFormat="1" ht="12.6" thickBot="1" x14ac:dyDescent="0.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</row>
    <row r="444" spans="1:25" s="5" customFormat="1" ht="12.6" thickBot="1" x14ac:dyDescent="0.3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</row>
    <row r="445" spans="1:25" s="5" customFormat="1" ht="12.6" thickBot="1" x14ac:dyDescent="0.3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</row>
    <row r="446" spans="1:25" s="5" customFormat="1" ht="12.6" thickBot="1" x14ac:dyDescent="0.3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</row>
    <row r="447" spans="1:25" s="5" customFormat="1" ht="12.6" thickBot="1" x14ac:dyDescent="0.3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</row>
    <row r="448" spans="1:25" s="5" customFormat="1" ht="12.6" thickBot="1" x14ac:dyDescent="0.3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</row>
    <row r="449" spans="1:25" s="5" customFormat="1" ht="12.6" thickBot="1" x14ac:dyDescent="0.3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</row>
    <row r="450" spans="1:25" s="5" customFormat="1" ht="12.6" thickBot="1" x14ac:dyDescent="0.3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</row>
    <row r="451" spans="1:25" s="5" customFormat="1" ht="12.6" thickBot="1" x14ac:dyDescent="0.3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</row>
    <row r="452" spans="1:25" s="5" customFormat="1" ht="12.6" thickBot="1" x14ac:dyDescent="0.3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</row>
    <row r="453" spans="1:25" s="5" customFormat="1" ht="12.6" thickBot="1" x14ac:dyDescent="0.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</row>
    <row r="454" spans="1:25" s="5" customFormat="1" ht="12.6" thickBot="1" x14ac:dyDescent="0.3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</row>
    <row r="455" spans="1:25" s="5" customFormat="1" ht="12.6" thickBot="1" x14ac:dyDescent="0.3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</row>
    <row r="456" spans="1:25" s="5" customFormat="1" ht="12.6" thickBot="1" x14ac:dyDescent="0.3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</row>
    <row r="457" spans="1:25" s="5" customFormat="1" ht="12.6" thickBot="1" x14ac:dyDescent="0.3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</row>
    <row r="458" spans="1:25" s="5" customFormat="1" ht="12.6" thickBot="1" x14ac:dyDescent="0.3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</row>
    <row r="459" spans="1:25" s="5" customFormat="1" ht="12.6" thickBot="1" x14ac:dyDescent="0.3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</row>
    <row r="460" spans="1:25" s="5" customFormat="1" ht="12.6" thickBot="1" x14ac:dyDescent="0.3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</row>
    <row r="461" spans="1:25" s="5" customFormat="1" ht="12.6" thickBot="1" x14ac:dyDescent="0.3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</row>
    <row r="462" spans="1:25" s="5" customFormat="1" ht="12.6" thickBot="1" x14ac:dyDescent="0.3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</row>
    <row r="463" spans="1:25" s="5" customFormat="1" ht="12.6" thickBot="1" x14ac:dyDescent="0.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</row>
    <row r="464" spans="1:25" s="5" customFormat="1" ht="12.6" thickBot="1" x14ac:dyDescent="0.3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</row>
    <row r="465" spans="1:25" s="5" customFormat="1" ht="12.6" thickBot="1" x14ac:dyDescent="0.3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</row>
    <row r="466" spans="1:25" s="5" customFormat="1" ht="12.6" thickBot="1" x14ac:dyDescent="0.3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</row>
    <row r="467" spans="1:25" s="5" customFormat="1" ht="12.6" thickBot="1" x14ac:dyDescent="0.3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</row>
    <row r="468" spans="1:25" s="5" customFormat="1" ht="12.6" thickBot="1" x14ac:dyDescent="0.3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</row>
    <row r="469" spans="1:25" s="5" customFormat="1" ht="12.6" thickBot="1" x14ac:dyDescent="0.3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</row>
    <row r="470" spans="1:25" s="5" customFormat="1" ht="12.6" thickBot="1" x14ac:dyDescent="0.3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</row>
    <row r="471" spans="1:25" s="5" customFormat="1" ht="12.6" thickBot="1" x14ac:dyDescent="0.3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</row>
    <row r="472" spans="1:25" s="5" customFormat="1" ht="12.6" thickBot="1" x14ac:dyDescent="0.3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</row>
    <row r="473" spans="1:25" s="5" customFormat="1" ht="12.6" thickBot="1" x14ac:dyDescent="0.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</row>
    <row r="474" spans="1:25" s="5" customFormat="1" ht="12.6" thickBot="1" x14ac:dyDescent="0.3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</row>
    <row r="475" spans="1:25" s="5" customFormat="1" ht="12.6" thickBot="1" x14ac:dyDescent="0.3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</row>
    <row r="476" spans="1:25" s="5" customFormat="1" ht="12.6" thickBot="1" x14ac:dyDescent="0.3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</row>
    <row r="477" spans="1:25" s="5" customFormat="1" ht="12.6" thickBot="1" x14ac:dyDescent="0.3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</row>
    <row r="478" spans="1:25" s="5" customFormat="1" ht="12.6" thickBot="1" x14ac:dyDescent="0.3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</row>
    <row r="479" spans="1:25" s="5" customFormat="1" ht="12.6" thickBot="1" x14ac:dyDescent="0.3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</row>
    <row r="480" spans="1:25" s="5" customFormat="1" ht="12.6" thickBot="1" x14ac:dyDescent="0.3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</row>
    <row r="481" spans="1:25" s="5" customFormat="1" ht="12.6" thickBot="1" x14ac:dyDescent="0.3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</row>
    <row r="482" spans="1:25" s="5" customFormat="1" ht="12.6" thickBot="1" x14ac:dyDescent="0.3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</row>
    <row r="483" spans="1:25" s="5" customFormat="1" ht="12.6" thickBot="1" x14ac:dyDescent="0.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</row>
    <row r="484" spans="1:25" s="5" customFormat="1" ht="12.6" thickBot="1" x14ac:dyDescent="0.3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</row>
    <row r="485" spans="1:25" s="5" customFormat="1" ht="12.6" thickBot="1" x14ac:dyDescent="0.3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</row>
    <row r="486" spans="1:25" s="5" customFormat="1" ht="12.6" thickBot="1" x14ac:dyDescent="0.3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</row>
    <row r="487" spans="1:25" s="5" customFormat="1" ht="12.6" thickBot="1" x14ac:dyDescent="0.3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</row>
    <row r="488" spans="1:25" s="5" customFormat="1" ht="12.6" thickBot="1" x14ac:dyDescent="0.3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</row>
    <row r="489" spans="1:25" s="5" customFormat="1" ht="12.6" thickBot="1" x14ac:dyDescent="0.3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</row>
    <row r="490" spans="1:25" s="5" customFormat="1" ht="12.6" thickBot="1" x14ac:dyDescent="0.3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</row>
    <row r="491" spans="1:25" s="5" customFormat="1" ht="12.6" thickBot="1" x14ac:dyDescent="0.3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</row>
    <row r="492" spans="1:25" s="5" customFormat="1" ht="12.6" thickBot="1" x14ac:dyDescent="0.3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</row>
    <row r="493" spans="1:25" s="5" customFormat="1" ht="12.6" thickBot="1" x14ac:dyDescent="0.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</row>
    <row r="494" spans="1:25" s="5" customFormat="1" ht="12.6" thickBot="1" x14ac:dyDescent="0.3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</row>
    <row r="495" spans="1:25" s="5" customFormat="1" ht="12.6" thickBot="1" x14ac:dyDescent="0.3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</row>
    <row r="496" spans="1:25" s="5" customFormat="1" ht="12.6" thickBot="1" x14ac:dyDescent="0.3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</row>
    <row r="497" spans="1:25" s="5" customFormat="1" ht="12.6" thickBot="1" x14ac:dyDescent="0.3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</row>
    <row r="498" spans="1:25" s="5" customFormat="1" ht="12.6" thickBot="1" x14ac:dyDescent="0.3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</row>
    <row r="499" spans="1:25" s="5" customFormat="1" ht="12.6" thickBot="1" x14ac:dyDescent="0.3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</row>
    <row r="500" spans="1:25" s="5" customFormat="1" ht="12.6" thickBot="1" x14ac:dyDescent="0.3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</row>
    <row r="501" spans="1:25" s="5" customFormat="1" ht="12.6" thickBot="1" x14ac:dyDescent="0.3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</row>
    <row r="502" spans="1:25" s="5" customFormat="1" ht="12.6" thickBot="1" x14ac:dyDescent="0.3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</row>
    <row r="503" spans="1:25" s="5" customFormat="1" ht="12.6" thickBot="1" x14ac:dyDescent="0.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</row>
    <row r="504" spans="1:25" s="5" customFormat="1" ht="12.6" thickBot="1" x14ac:dyDescent="0.3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</row>
    <row r="505" spans="1:25" s="5" customFormat="1" ht="12.6" thickBot="1" x14ac:dyDescent="0.3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</row>
    <row r="506" spans="1:25" s="5" customFormat="1" ht="12.6" thickBot="1" x14ac:dyDescent="0.3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</row>
    <row r="507" spans="1:25" s="5" customFormat="1" ht="12.6" thickBot="1" x14ac:dyDescent="0.3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</row>
    <row r="508" spans="1:25" s="5" customFormat="1" ht="12.6" thickBot="1" x14ac:dyDescent="0.3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</row>
    <row r="509" spans="1:25" s="5" customFormat="1" ht="12.6" thickBot="1" x14ac:dyDescent="0.3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</row>
    <row r="510" spans="1:25" s="5" customFormat="1" ht="12.6" thickBot="1" x14ac:dyDescent="0.3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</row>
    <row r="511" spans="1:25" s="5" customFormat="1" ht="12.6" thickBot="1" x14ac:dyDescent="0.3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</row>
    <row r="512" spans="1:25" s="5" customFormat="1" ht="12.6" thickBot="1" x14ac:dyDescent="0.3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</row>
    <row r="513" spans="1:25" s="5" customFormat="1" ht="12.6" thickBot="1" x14ac:dyDescent="0.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</row>
    <row r="514" spans="1:25" s="5" customFormat="1" ht="12.6" thickBot="1" x14ac:dyDescent="0.3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</row>
    <row r="515" spans="1:25" s="5" customFormat="1" ht="12.6" thickBot="1" x14ac:dyDescent="0.3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</row>
    <row r="516" spans="1:25" s="5" customFormat="1" ht="12.6" thickBot="1" x14ac:dyDescent="0.3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</row>
    <row r="517" spans="1:25" s="5" customFormat="1" ht="12.6" thickBot="1" x14ac:dyDescent="0.3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</row>
    <row r="518" spans="1:25" s="5" customFormat="1" ht="12.6" thickBot="1" x14ac:dyDescent="0.3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</row>
    <row r="519" spans="1:25" s="5" customFormat="1" ht="12.6" thickBot="1" x14ac:dyDescent="0.3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</row>
    <row r="520" spans="1:25" s="5" customFormat="1" ht="12.6" thickBot="1" x14ac:dyDescent="0.3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</row>
    <row r="521" spans="1:25" s="5" customFormat="1" ht="12.6" thickBot="1" x14ac:dyDescent="0.3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</row>
    <row r="522" spans="1:25" s="5" customFormat="1" ht="12.6" thickBot="1" x14ac:dyDescent="0.3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</row>
    <row r="523" spans="1:25" s="5" customFormat="1" ht="12.6" thickBot="1" x14ac:dyDescent="0.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</row>
    <row r="524" spans="1:25" s="5" customFormat="1" ht="12.6" thickBot="1" x14ac:dyDescent="0.3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</row>
    <row r="525" spans="1:25" s="5" customFormat="1" ht="12.6" thickBot="1" x14ac:dyDescent="0.3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</row>
    <row r="526" spans="1:25" s="5" customFormat="1" ht="12.6" thickBot="1" x14ac:dyDescent="0.3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</row>
    <row r="527" spans="1:25" s="5" customFormat="1" ht="12.6" thickBot="1" x14ac:dyDescent="0.3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</row>
    <row r="528" spans="1:25" s="5" customFormat="1" ht="12.6" thickBot="1" x14ac:dyDescent="0.3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</row>
    <row r="529" spans="1:25" s="5" customFormat="1" ht="12.6" thickBot="1" x14ac:dyDescent="0.3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</row>
    <row r="530" spans="1:25" s="5" customFormat="1" ht="12.6" thickBot="1" x14ac:dyDescent="0.3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</row>
    <row r="531" spans="1:25" s="5" customFormat="1" ht="12.6" thickBot="1" x14ac:dyDescent="0.3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</row>
    <row r="532" spans="1:25" s="5" customFormat="1" ht="12.6" thickBot="1" x14ac:dyDescent="0.3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</row>
    <row r="533" spans="1:25" s="5" customFormat="1" ht="12.6" thickBot="1" x14ac:dyDescent="0.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</row>
    <row r="534" spans="1:25" s="5" customFormat="1" ht="12.6" thickBot="1" x14ac:dyDescent="0.3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</row>
    <row r="535" spans="1:25" s="5" customFormat="1" ht="12.6" thickBot="1" x14ac:dyDescent="0.3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</row>
    <row r="536" spans="1:25" s="5" customFormat="1" ht="12.6" thickBot="1" x14ac:dyDescent="0.3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</row>
    <row r="537" spans="1:25" s="5" customFormat="1" ht="12.6" thickBot="1" x14ac:dyDescent="0.3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</row>
    <row r="538" spans="1:25" s="5" customFormat="1" ht="12.6" thickBot="1" x14ac:dyDescent="0.3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</row>
    <row r="539" spans="1:25" s="5" customFormat="1" ht="12.6" thickBot="1" x14ac:dyDescent="0.3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</row>
    <row r="540" spans="1:25" s="5" customFormat="1" ht="12.6" thickBot="1" x14ac:dyDescent="0.3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</row>
    <row r="541" spans="1:25" s="5" customFormat="1" ht="12.6" thickBot="1" x14ac:dyDescent="0.3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</row>
    <row r="542" spans="1:25" s="5" customFormat="1" ht="12.6" thickBot="1" x14ac:dyDescent="0.3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</row>
    <row r="543" spans="1:25" s="5" customFormat="1" ht="12.6" thickBot="1" x14ac:dyDescent="0.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</row>
    <row r="544" spans="1:25" s="5" customFormat="1" ht="12.6" thickBot="1" x14ac:dyDescent="0.3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</row>
    <row r="545" spans="1:25" s="5" customFormat="1" ht="12.6" thickBot="1" x14ac:dyDescent="0.3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</row>
    <row r="546" spans="1:25" s="5" customFormat="1" ht="12.6" thickBot="1" x14ac:dyDescent="0.3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</row>
    <row r="547" spans="1:25" s="5" customFormat="1" ht="12.6" thickBot="1" x14ac:dyDescent="0.3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</row>
    <row r="548" spans="1:25" s="5" customFormat="1" ht="12.6" thickBot="1" x14ac:dyDescent="0.3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</row>
    <row r="549" spans="1:25" s="5" customFormat="1" ht="12.6" thickBot="1" x14ac:dyDescent="0.3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</row>
    <row r="550" spans="1:25" s="5" customFormat="1" ht="12.6" thickBot="1" x14ac:dyDescent="0.3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</row>
    <row r="551" spans="1:25" s="5" customFormat="1" ht="12.6" thickBot="1" x14ac:dyDescent="0.3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</row>
    <row r="552" spans="1:25" s="5" customFormat="1" ht="12.6" thickBot="1" x14ac:dyDescent="0.3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</row>
    <row r="553" spans="1:25" s="5" customFormat="1" ht="12.6" thickBot="1" x14ac:dyDescent="0.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</row>
    <row r="554" spans="1:25" s="5" customFormat="1" ht="12.6" thickBot="1" x14ac:dyDescent="0.3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</row>
    <row r="555" spans="1:25" s="5" customFormat="1" ht="12.6" thickBot="1" x14ac:dyDescent="0.3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</row>
    <row r="556" spans="1:25" s="5" customFormat="1" ht="12.6" thickBot="1" x14ac:dyDescent="0.3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</row>
    <row r="557" spans="1:25" s="5" customFormat="1" ht="12.6" thickBot="1" x14ac:dyDescent="0.3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</row>
    <row r="558" spans="1:25" s="5" customFormat="1" ht="12.6" thickBot="1" x14ac:dyDescent="0.3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</row>
    <row r="559" spans="1:25" s="5" customFormat="1" ht="12.6" thickBot="1" x14ac:dyDescent="0.3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</row>
    <row r="560" spans="1:25" s="5" customFormat="1" ht="12.6" thickBot="1" x14ac:dyDescent="0.3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</row>
    <row r="561" spans="1:25" s="5" customFormat="1" ht="12.6" thickBot="1" x14ac:dyDescent="0.3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</row>
    <row r="562" spans="1:25" s="5" customFormat="1" ht="12.6" thickBot="1" x14ac:dyDescent="0.3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</row>
    <row r="563" spans="1:25" s="5" customFormat="1" ht="12.6" thickBot="1" x14ac:dyDescent="0.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</row>
    <row r="564" spans="1:25" s="5" customFormat="1" ht="12.6" thickBot="1" x14ac:dyDescent="0.3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</row>
    <row r="565" spans="1:25" s="5" customFormat="1" ht="12.6" thickBot="1" x14ac:dyDescent="0.3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</row>
    <row r="566" spans="1:25" s="5" customFormat="1" ht="12.6" thickBot="1" x14ac:dyDescent="0.3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</row>
    <row r="567" spans="1:25" s="5" customFormat="1" ht="12.6" thickBot="1" x14ac:dyDescent="0.3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</row>
    <row r="568" spans="1:25" s="5" customFormat="1" ht="12.6" thickBot="1" x14ac:dyDescent="0.3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</row>
    <row r="569" spans="1:25" s="5" customFormat="1" ht="12.6" thickBot="1" x14ac:dyDescent="0.3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</row>
    <row r="570" spans="1:25" s="5" customFormat="1" ht="12.6" thickBot="1" x14ac:dyDescent="0.3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</row>
    <row r="571" spans="1:25" s="5" customFormat="1" ht="12.6" thickBot="1" x14ac:dyDescent="0.3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</row>
    <row r="572" spans="1:25" s="5" customFormat="1" ht="12.6" thickBot="1" x14ac:dyDescent="0.3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</row>
    <row r="573" spans="1:25" s="5" customFormat="1" ht="12.6" thickBot="1" x14ac:dyDescent="0.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</row>
    <row r="574" spans="1:25" s="5" customFormat="1" ht="12.6" thickBot="1" x14ac:dyDescent="0.3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</row>
    <row r="575" spans="1:25" s="5" customFormat="1" ht="12.6" thickBot="1" x14ac:dyDescent="0.3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</row>
    <row r="576" spans="1:25" s="5" customFormat="1" ht="12.6" thickBot="1" x14ac:dyDescent="0.3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</row>
    <row r="577" spans="1:25" s="5" customFormat="1" ht="12.6" thickBot="1" x14ac:dyDescent="0.3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</row>
    <row r="578" spans="1:25" s="5" customFormat="1" ht="12.6" thickBot="1" x14ac:dyDescent="0.3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</row>
    <row r="579" spans="1:25" s="5" customFormat="1" ht="12.6" thickBot="1" x14ac:dyDescent="0.3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</row>
    <row r="580" spans="1:25" s="5" customFormat="1" ht="12.6" thickBot="1" x14ac:dyDescent="0.3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</row>
    <row r="581" spans="1:25" s="5" customFormat="1" ht="12.6" thickBot="1" x14ac:dyDescent="0.3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</row>
    <row r="582" spans="1:25" s="5" customFormat="1" ht="12.6" thickBot="1" x14ac:dyDescent="0.3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</row>
    <row r="583" spans="1:25" s="5" customFormat="1" ht="12.6" thickBot="1" x14ac:dyDescent="0.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</row>
    <row r="584" spans="1:25" s="5" customFormat="1" ht="12.6" thickBot="1" x14ac:dyDescent="0.3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</row>
    <row r="585" spans="1:25" s="5" customFormat="1" ht="12.6" thickBot="1" x14ac:dyDescent="0.3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</row>
    <row r="586" spans="1:25" s="5" customFormat="1" ht="12.6" thickBot="1" x14ac:dyDescent="0.3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</row>
    <row r="587" spans="1:25" s="5" customFormat="1" ht="12.6" thickBot="1" x14ac:dyDescent="0.3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</row>
    <row r="588" spans="1:25" s="5" customFormat="1" ht="12.6" thickBot="1" x14ac:dyDescent="0.3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</row>
    <row r="589" spans="1:25" s="5" customFormat="1" ht="12.6" thickBot="1" x14ac:dyDescent="0.3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</row>
    <row r="590" spans="1:25" s="5" customFormat="1" ht="12.6" thickBot="1" x14ac:dyDescent="0.3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</row>
    <row r="591" spans="1:25" s="5" customFormat="1" ht="12.6" thickBot="1" x14ac:dyDescent="0.3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</row>
    <row r="592" spans="1:25" s="5" customFormat="1" ht="12.6" thickBot="1" x14ac:dyDescent="0.3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</row>
    <row r="593" spans="1:25" s="5" customFormat="1" ht="12.6" thickBot="1" x14ac:dyDescent="0.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</row>
    <row r="594" spans="1:25" s="5" customFormat="1" ht="12.6" thickBot="1" x14ac:dyDescent="0.3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</row>
    <row r="595" spans="1:25" s="5" customFormat="1" ht="12.6" thickBot="1" x14ac:dyDescent="0.3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</row>
    <row r="596" spans="1:25" s="5" customFormat="1" ht="12.6" thickBot="1" x14ac:dyDescent="0.3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</row>
    <row r="597" spans="1:25" s="5" customFormat="1" ht="12.6" thickBot="1" x14ac:dyDescent="0.3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</row>
    <row r="598" spans="1:25" s="5" customFormat="1" ht="12.6" thickBot="1" x14ac:dyDescent="0.3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</row>
    <row r="599" spans="1:25" s="5" customFormat="1" ht="12.6" thickBot="1" x14ac:dyDescent="0.3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</row>
    <row r="600" spans="1:25" s="5" customFormat="1" ht="12.6" thickBot="1" x14ac:dyDescent="0.3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</row>
    <row r="601" spans="1:25" s="5" customFormat="1" ht="12.6" thickBot="1" x14ac:dyDescent="0.3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</row>
    <row r="602" spans="1:25" s="5" customFormat="1" ht="12.6" thickBot="1" x14ac:dyDescent="0.3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</row>
    <row r="603" spans="1:25" s="5" customFormat="1" ht="12.6" thickBot="1" x14ac:dyDescent="0.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</row>
    <row r="604" spans="1:25" s="5" customFormat="1" ht="12.6" thickBot="1" x14ac:dyDescent="0.3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</row>
    <row r="605" spans="1:25" s="5" customFormat="1" ht="12.6" thickBot="1" x14ac:dyDescent="0.3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</row>
    <row r="606" spans="1:25" s="5" customFormat="1" ht="12.6" thickBot="1" x14ac:dyDescent="0.3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</row>
    <row r="607" spans="1:25" s="5" customFormat="1" ht="12.6" thickBot="1" x14ac:dyDescent="0.3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</row>
    <row r="608" spans="1:25" s="5" customFormat="1" ht="12.6" thickBot="1" x14ac:dyDescent="0.3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</row>
    <row r="609" spans="1:25" s="5" customFormat="1" ht="12.6" thickBot="1" x14ac:dyDescent="0.3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</row>
    <row r="610" spans="1:25" s="5" customFormat="1" ht="12.6" thickBot="1" x14ac:dyDescent="0.3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</row>
    <row r="611" spans="1:25" s="5" customFormat="1" ht="12.6" thickBot="1" x14ac:dyDescent="0.3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</row>
    <row r="612" spans="1:25" s="5" customFormat="1" ht="12.6" thickBot="1" x14ac:dyDescent="0.3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</row>
    <row r="613" spans="1:25" s="5" customFormat="1" ht="12.6" thickBot="1" x14ac:dyDescent="0.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</row>
    <row r="614" spans="1:25" s="5" customFormat="1" ht="12.6" thickBot="1" x14ac:dyDescent="0.3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</row>
    <row r="615" spans="1:25" s="5" customFormat="1" ht="12.6" thickBot="1" x14ac:dyDescent="0.3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</row>
    <row r="616" spans="1:25" s="5" customFormat="1" ht="12.6" thickBot="1" x14ac:dyDescent="0.3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</row>
    <row r="617" spans="1:25" s="5" customFormat="1" ht="12.6" thickBot="1" x14ac:dyDescent="0.3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</row>
    <row r="618" spans="1:25" s="5" customFormat="1" ht="12.6" thickBot="1" x14ac:dyDescent="0.3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</row>
    <row r="619" spans="1:25" s="5" customFormat="1" ht="12.6" thickBot="1" x14ac:dyDescent="0.3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</row>
    <row r="620" spans="1:25" s="5" customFormat="1" ht="12.6" thickBot="1" x14ac:dyDescent="0.3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</row>
    <row r="621" spans="1:25" s="5" customFormat="1" ht="12.6" thickBot="1" x14ac:dyDescent="0.3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</row>
    <row r="622" spans="1:25" s="5" customFormat="1" ht="12.6" thickBot="1" x14ac:dyDescent="0.3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</row>
    <row r="623" spans="1:25" s="5" customFormat="1" ht="12.6" thickBot="1" x14ac:dyDescent="0.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</row>
    <row r="624" spans="1:25" s="5" customFormat="1" ht="12.6" thickBot="1" x14ac:dyDescent="0.3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</row>
    <row r="625" spans="1:25" s="5" customFormat="1" ht="12.6" thickBot="1" x14ac:dyDescent="0.3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</row>
    <row r="626" spans="1:25" s="5" customFormat="1" ht="12.6" thickBot="1" x14ac:dyDescent="0.3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</row>
    <row r="627" spans="1:25" s="5" customFormat="1" ht="12.6" thickBot="1" x14ac:dyDescent="0.3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</row>
    <row r="628" spans="1:25" s="5" customFormat="1" ht="12.6" thickBot="1" x14ac:dyDescent="0.3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</row>
    <row r="629" spans="1:25" s="5" customFormat="1" ht="12.6" thickBot="1" x14ac:dyDescent="0.3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</row>
    <row r="630" spans="1:25" s="5" customFormat="1" ht="12.6" thickBot="1" x14ac:dyDescent="0.3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</row>
    <row r="631" spans="1:25" s="5" customFormat="1" ht="12.6" thickBot="1" x14ac:dyDescent="0.3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</row>
    <row r="632" spans="1:25" s="5" customFormat="1" ht="12.6" thickBot="1" x14ac:dyDescent="0.3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</row>
    <row r="633" spans="1:25" s="5" customFormat="1" ht="12.6" thickBot="1" x14ac:dyDescent="0.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</row>
    <row r="634" spans="1:25" s="5" customFormat="1" ht="12.6" thickBot="1" x14ac:dyDescent="0.3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</row>
    <row r="635" spans="1:25" s="5" customFormat="1" ht="12.6" thickBot="1" x14ac:dyDescent="0.3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</row>
    <row r="636" spans="1:25" s="5" customFormat="1" ht="12.6" thickBot="1" x14ac:dyDescent="0.3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</row>
    <row r="637" spans="1:25" s="5" customFormat="1" ht="12.6" thickBot="1" x14ac:dyDescent="0.3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</row>
    <row r="638" spans="1:25" s="5" customFormat="1" ht="12.6" thickBot="1" x14ac:dyDescent="0.3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</row>
    <row r="639" spans="1:25" s="5" customFormat="1" ht="12.6" thickBot="1" x14ac:dyDescent="0.3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</row>
    <row r="640" spans="1:25" s="5" customFormat="1" ht="12.6" thickBot="1" x14ac:dyDescent="0.3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</row>
    <row r="641" spans="1:25" s="5" customFormat="1" ht="12.6" thickBot="1" x14ac:dyDescent="0.3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</row>
    <row r="642" spans="1:25" s="5" customFormat="1" ht="12.6" thickBot="1" x14ac:dyDescent="0.3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</row>
    <row r="643" spans="1:25" s="5" customFormat="1" ht="12.6" thickBot="1" x14ac:dyDescent="0.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</row>
    <row r="644" spans="1:25" s="5" customFormat="1" ht="12.6" thickBot="1" x14ac:dyDescent="0.3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</row>
    <row r="645" spans="1:25" s="5" customFormat="1" ht="12.6" thickBot="1" x14ac:dyDescent="0.3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</row>
    <row r="646" spans="1:25" s="5" customFormat="1" ht="12.6" thickBot="1" x14ac:dyDescent="0.3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</row>
    <row r="647" spans="1:25" s="5" customFormat="1" ht="12.6" thickBot="1" x14ac:dyDescent="0.3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</row>
    <row r="648" spans="1:25" s="5" customFormat="1" ht="12.6" thickBot="1" x14ac:dyDescent="0.3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</row>
    <row r="649" spans="1:25" s="5" customFormat="1" ht="12.6" thickBot="1" x14ac:dyDescent="0.3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</row>
    <row r="650" spans="1:25" s="5" customFormat="1" ht="12.6" thickBot="1" x14ac:dyDescent="0.3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</row>
    <row r="651" spans="1:25" s="5" customFormat="1" ht="12.6" thickBot="1" x14ac:dyDescent="0.3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</row>
    <row r="652" spans="1:25" s="5" customFormat="1" ht="12.6" thickBot="1" x14ac:dyDescent="0.3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</row>
    <row r="653" spans="1:25" s="5" customFormat="1" ht="12.6" thickBot="1" x14ac:dyDescent="0.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</row>
    <row r="654" spans="1:25" s="5" customFormat="1" ht="12.6" thickBot="1" x14ac:dyDescent="0.3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</row>
    <row r="655" spans="1:25" s="5" customFormat="1" ht="12.6" thickBot="1" x14ac:dyDescent="0.3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</row>
    <row r="656" spans="1:25" s="5" customFormat="1" ht="12.6" thickBot="1" x14ac:dyDescent="0.3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</row>
    <row r="657" spans="1:25" s="5" customFormat="1" ht="12.6" thickBot="1" x14ac:dyDescent="0.3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</row>
    <row r="658" spans="1:25" s="5" customFormat="1" ht="12.6" thickBot="1" x14ac:dyDescent="0.3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</row>
    <row r="659" spans="1:25" s="5" customFormat="1" ht="12.6" thickBot="1" x14ac:dyDescent="0.3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</row>
    <row r="660" spans="1:25" s="5" customFormat="1" ht="12.6" thickBot="1" x14ac:dyDescent="0.3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</row>
    <row r="661" spans="1:25" s="5" customFormat="1" ht="12.6" thickBot="1" x14ac:dyDescent="0.3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</row>
    <row r="662" spans="1:25" s="5" customFormat="1" ht="12.6" thickBot="1" x14ac:dyDescent="0.3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</row>
    <row r="663" spans="1:25" s="5" customFormat="1" ht="12.6" thickBot="1" x14ac:dyDescent="0.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</row>
    <row r="664" spans="1:25" s="5" customFormat="1" ht="12.6" thickBot="1" x14ac:dyDescent="0.3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</row>
    <row r="665" spans="1:25" s="5" customFormat="1" ht="12.6" thickBot="1" x14ac:dyDescent="0.3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</row>
    <row r="666" spans="1:25" s="5" customFormat="1" ht="12.6" thickBot="1" x14ac:dyDescent="0.3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</row>
    <row r="667" spans="1:25" s="5" customFormat="1" ht="12.6" thickBot="1" x14ac:dyDescent="0.3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</row>
    <row r="668" spans="1:25" s="5" customFormat="1" ht="12.6" thickBot="1" x14ac:dyDescent="0.3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</row>
    <row r="669" spans="1:25" s="5" customFormat="1" ht="12.6" thickBot="1" x14ac:dyDescent="0.3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</row>
    <row r="670" spans="1:25" s="5" customFormat="1" ht="12.6" thickBot="1" x14ac:dyDescent="0.3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</row>
    <row r="671" spans="1:25" s="5" customFormat="1" ht="12.6" thickBot="1" x14ac:dyDescent="0.3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</row>
    <row r="672" spans="1:25" s="5" customFormat="1" ht="12.6" thickBot="1" x14ac:dyDescent="0.3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</row>
    <row r="673" spans="1:25" s="5" customFormat="1" ht="12.6" thickBot="1" x14ac:dyDescent="0.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</row>
    <row r="674" spans="1:25" s="5" customFormat="1" ht="12.6" thickBot="1" x14ac:dyDescent="0.3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</row>
    <row r="675" spans="1:25" s="5" customFormat="1" ht="12.6" thickBot="1" x14ac:dyDescent="0.3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</row>
    <row r="676" spans="1:25" s="5" customFormat="1" ht="12.6" thickBot="1" x14ac:dyDescent="0.3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</row>
    <row r="677" spans="1:25" s="5" customFormat="1" ht="12.6" thickBot="1" x14ac:dyDescent="0.3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</row>
    <row r="678" spans="1:25" s="5" customFormat="1" ht="12.6" thickBot="1" x14ac:dyDescent="0.3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</row>
    <row r="679" spans="1:25" s="5" customFormat="1" ht="12.6" thickBot="1" x14ac:dyDescent="0.3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</row>
    <row r="680" spans="1:25" s="5" customFormat="1" ht="12.6" thickBot="1" x14ac:dyDescent="0.3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</row>
    <row r="681" spans="1:25" s="5" customFormat="1" ht="12.6" thickBot="1" x14ac:dyDescent="0.3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</row>
    <row r="682" spans="1:25" s="5" customFormat="1" ht="12.6" thickBot="1" x14ac:dyDescent="0.3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</row>
    <row r="683" spans="1:25" s="5" customFormat="1" ht="12.6" thickBot="1" x14ac:dyDescent="0.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</row>
    <row r="684" spans="1:25" s="5" customFormat="1" ht="12.6" thickBot="1" x14ac:dyDescent="0.3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</row>
    <row r="685" spans="1:25" s="5" customFormat="1" ht="12.6" thickBot="1" x14ac:dyDescent="0.3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</row>
    <row r="686" spans="1:25" s="5" customFormat="1" ht="12.6" thickBot="1" x14ac:dyDescent="0.3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</row>
    <row r="687" spans="1:25" s="5" customFormat="1" ht="12.6" thickBot="1" x14ac:dyDescent="0.3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</row>
    <row r="688" spans="1:25" s="5" customFormat="1" ht="12.6" thickBot="1" x14ac:dyDescent="0.3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</row>
    <row r="689" spans="1:25" s="5" customFormat="1" ht="12.6" thickBot="1" x14ac:dyDescent="0.3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</row>
    <row r="690" spans="1:25" s="5" customFormat="1" ht="12.6" thickBot="1" x14ac:dyDescent="0.3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</row>
    <row r="691" spans="1:25" s="5" customFormat="1" ht="12.6" thickBot="1" x14ac:dyDescent="0.3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</row>
    <row r="692" spans="1:25" s="5" customFormat="1" ht="12.6" thickBot="1" x14ac:dyDescent="0.3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</row>
    <row r="693" spans="1:25" s="5" customFormat="1" ht="12.6" thickBot="1" x14ac:dyDescent="0.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</row>
    <row r="694" spans="1:25" s="5" customFormat="1" ht="12.6" thickBot="1" x14ac:dyDescent="0.3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</row>
    <row r="695" spans="1:25" s="5" customFormat="1" ht="12.6" thickBot="1" x14ac:dyDescent="0.3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</row>
    <row r="696" spans="1:25" s="5" customFormat="1" ht="12.6" thickBot="1" x14ac:dyDescent="0.3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</row>
    <row r="697" spans="1:25" s="5" customFormat="1" ht="12.6" thickBot="1" x14ac:dyDescent="0.3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</row>
    <row r="698" spans="1:25" s="5" customFormat="1" ht="12.6" thickBot="1" x14ac:dyDescent="0.3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</row>
    <row r="699" spans="1:25" s="5" customFormat="1" ht="12.6" thickBot="1" x14ac:dyDescent="0.3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</row>
    <row r="700" spans="1:25" s="5" customFormat="1" ht="12.6" thickBot="1" x14ac:dyDescent="0.3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</row>
    <row r="701" spans="1:25" s="5" customFormat="1" ht="12.6" thickBot="1" x14ac:dyDescent="0.3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</row>
    <row r="702" spans="1:25" s="5" customFormat="1" ht="12.6" thickBot="1" x14ac:dyDescent="0.3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</row>
    <row r="703" spans="1:25" s="5" customFormat="1" ht="12.6" thickBot="1" x14ac:dyDescent="0.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</row>
    <row r="704" spans="1:25" s="5" customFormat="1" ht="12.6" thickBot="1" x14ac:dyDescent="0.3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</row>
    <row r="705" spans="1:25" s="5" customFormat="1" ht="12.6" thickBot="1" x14ac:dyDescent="0.3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</row>
    <row r="706" spans="1:25" s="5" customFormat="1" ht="12.6" thickBot="1" x14ac:dyDescent="0.3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</row>
    <row r="707" spans="1:25" s="5" customFormat="1" ht="12.6" thickBot="1" x14ac:dyDescent="0.3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</row>
    <row r="708" spans="1:25" s="5" customFormat="1" ht="12.6" thickBot="1" x14ac:dyDescent="0.3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</row>
    <row r="709" spans="1:25" s="5" customFormat="1" ht="12.6" thickBot="1" x14ac:dyDescent="0.3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</row>
    <row r="710" spans="1:25" s="5" customFormat="1" ht="12.6" thickBot="1" x14ac:dyDescent="0.3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</row>
    <row r="711" spans="1:25" s="5" customFormat="1" ht="12.6" thickBot="1" x14ac:dyDescent="0.3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</row>
    <row r="712" spans="1:25" s="5" customFormat="1" ht="12.6" thickBot="1" x14ac:dyDescent="0.3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</row>
    <row r="713" spans="1:25" s="5" customFormat="1" ht="12.6" thickBot="1" x14ac:dyDescent="0.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</row>
    <row r="714" spans="1:25" s="5" customFormat="1" ht="12.6" thickBot="1" x14ac:dyDescent="0.3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</row>
    <row r="715" spans="1:25" s="5" customFormat="1" ht="12.6" thickBot="1" x14ac:dyDescent="0.3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</row>
    <row r="716" spans="1:25" s="5" customFormat="1" ht="12.6" thickBot="1" x14ac:dyDescent="0.3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</row>
    <row r="717" spans="1:25" s="5" customFormat="1" ht="12.6" thickBot="1" x14ac:dyDescent="0.3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</row>
    <row r="718" spans="1:25" s="5" customFormat="1" ht="12.6" thickBot="1" x14ac:dyDescent="0.3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</row>
    <row r="719" spans="1:25" s="5" customFormat="1" ht="12.6" thickBot="1" x14ac:dyDescent="0.3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</row>
    <row r="720" spans="1:25" s="5" customFormat="1" ht="12.6" thickBot="1" x14ac:dyDescent="0.3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</row>
    <row r="721" spans="1:25" s="5" customFormat="1" ht="12.6" thickBot="1" x14ac:dyDescent="0.3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</row>
    <row r="722" spans="1:25" s="5" customFormat="1" ht="12.6" thickBot="1" x14ac:dyDescent="0.3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</row>
    <row r="723" spans="1:25" s="5" customFormat="1" ht="12.6" thickBot="1" x14ac:dyDescent="0.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</row>
    <row r="724" spans="1:25" s="5" customFormat="1" ht="12.6" thickBot="1" x14ac:dyDescent="0.3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</row>
    <row r="725" spans="1:25" s="5" customFormat="1" ht="12.6" thickBot="1" x14ac:dyDescent="0.3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</row>
    <row r="726" spans="1:25" s="5" customFormat="1" ht="12.6" thickBot="1" x14ac:dyDescent="0.3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</row>
    <row r="727" spans="1:25" s="5" customFormat="1" ht="12.6" thickBot="1" x14ac:dyDescent="0.3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</row>
    <row r="728" spans="1:25" s="5" customFormat="1" ht="12.6" thickBot="1" x14ac:dyDescent="0.3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</row>
    <row r="729" spans="1:25" s="5" customFormat="1" ht="12.6" thickBot="1" x14ac:dyDescent="0.3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</row>
    <row r="730" spans="1:25" s="5" customFormat="1" ht="12.6" thickBot="1" x14ac:dyDescent="0.3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</row>
    <row r="731" spans="1:25" s="5" customFormat="1" ht="12.6" thickBot="1" x14ac:dyDescent="0.3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</row>
    <row r="732" spans="1:25" s="5" customFormat="1" ht="12.6" thickBot="1" x14ac:dyDescent="0.3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</row>
    <row r="733" spans="1:25" s="5" customFormat="1" ht="12.6" thickBot="1" x14ac:dyDescent="0.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</row>
    <row r="734" spans="1:25" s="5" customFormat="1" ht="12.6" thickBot="1" x14ac:dyDescent="0.3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</row>
    <row r="735" spans="1:25" s="5" customFormat="1" ht="12.6" thickBot="1" x14ac:dyDescent="0.3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</row>
    <row r="736" spans="1:25" s="5" customFormat="1" ht="12.6" thickBot="1" x14ac:dyDescent="0.3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</row>
    <row r="737" spans="1:25" s="5" customFormat="1" ht="12.6" thickBot="1" x14ac:dyDescent="0.3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</row>
    <row r="738" spans="1:25" s="5" customFormat="1" ht="12.6" thickBot="1" x14ac:dyDescent="0.3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</row>
    <row r="739" spans="1:25" s="5" customFormat="1" ht="12.6" thickBot="1" x14ac:dyDescent="0.3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</row>
    <row r="740" spans="1:25" s="5" customFormat="1" ht="12.6" thickBot="1" x14ac:dyDescent="0.3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</row>
    <row r="741" spans="1:25" s="5" customFormat="1" ht="12.6" thickBot="1" x14ac:dyDescent="0.3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</row>
    <row r="742" spans="1:25" s="5" customFormat="1" ht="12.6" thickBot="1" x14ac:dyDescent="0.3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</row>
    <row r="743" spans="1:25" s="5" customFormat="1" ht="12.6" thickBot="1" x14ac:dyDescent="0.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</row>
    <row r="744" spans="1:25" s="5" customFormat="1" ht="12.6" thickBot="1" x14ac:dyDescent="0.3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</row>
    <row r="745" spans="1:25" s="5" customFormat="1" ht="12.6" thickBot="1" x14ac:dyDescent="0.3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</row>
    <row r="746" spans="1:25" s="5" customFormat="1" ht="12.6" thickBot="1" x14ac:dyDescent="0.3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</row>
    <row r="747" spans="1:25" s="5" customFormat="1" ht="12.6" thickBot="1" x14ac:dyDescent="0.3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</row>
    <row r="748" spans="1:25" s="5" customFormat="1" ht="12.6" thickBot="1" x14ac:dyDescent="0.3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</row>
    <row r="749" spans="1:25" s="5" customFormat="1" ht="12.6" thickBot="1" x14ac:dyDescent="0.3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</row>
    <row r="750" spans="1:25" s="5" customFormat="1" ht="12.6" thickBot="1" x14ac:dyDescent="0.3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</row>
    <row r="751" spans="1:25" s="5" customFormat="1" ht="12.6" thickBot="1" x14ac:dyDescent="0.3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</row>
    <row r="752" spans="1:25" s="5" customFormat="1" ht="12.6" thickBot="1" x14ac:dyDescent="0.3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</row>
    <row r="753" spans="1:25" s="5" customFormat="1" ht="12.6" thickBot="1" x14ac:dyDescent="0.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</row>
    <row r="754" spans="1:25" s="5" customFormat="1" ht="12.6" thickBot="1" x14ac:dyDescent="0.3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</row>
    <row r="755" spans="1:25" s="5" customFormat="1" ht="12.6" thickBot="1" x14ac:dyDescent="0.3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</row>
    <row r="756" spans="1:25" s="5" customFormat="1" ht="12.6" thickBot="1" x14ac:dyDescent="0.3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</row>
    <row r="757" spans="1:25" s="5" customFormat="1" ht="12.6" thickBot="1" x14ac:dyDescent="0.3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</row>
    <row r="758" spans="1:25" s="5" customFormat="1" ht="12.6" thickBot="1" x14ac:dyDescent="0.3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</row>
    <row r="759" spans="1:25" s="5" customFormat="1" ht="12.6" thickBot="1" x14ac:dyDescent="0.3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</row>
    <row r="760" spans="1:25" s="5" customFormat="1" ht="12.6" thickBot="1" x14ac:dyDescent="0.3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</row>
    <row r="761" spans="1:25" s="5" customFormat="1" ht="12.6" thickBot="1" x14ac:dyDescent="0.3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</row>
    <row r="762" spans="1:25" s="5" customFormat="1" ht="12.6" thickBot="1" x14ac:dyDescent="0.3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</row>
    <row r="763" spans="1:25" s="5" customFormat="1" ht="12.6" thickBot="1" x14ac:dyDescent="0.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</row>
    <row r="764" spans="1:25" s="5" customFormat="1" ht="12.6" thickBot="1" x14ac:dyDescent="0.3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</row>
    <row r="765" spans="1:25" s="5" customFormat="1" ht="12.6" thickBot="1" x14ac:dyDescent="0.3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</row>
    <row r="766" spans="1:25" s="5" customFormat="1" ht="12.6" thickBot="1" x14ac:dyDescent="0.3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</row>
    <row r="767" spans="1:25" s="5" customFormat="1" ht="12.6" thickBot="1" x14ac:dyDescent="0.3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</row>
    <row r="768" spans="1:25" s="5" customFormat="1" ht="12.6" thickBot="1" x14ac:dyDescent="0.3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</row>
    <row r="769" spans="1:25" s="5" customFormat="1" ht="12.6" thickBot="1" x14ac:dyDescent="0.3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</row>
    <row r="770" spans="1:25" s="5" customFormat="1" ht="12.6" thickBot="1" x14ac:dyDescent="0.3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</row>
    <row r="771" spans="1:25" s="5" customFormat="1" ht="12.6" thickBot="1" x14ac:dyDescent="0.3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</row>
    <row r="772" spans="1:25" s="5" customFormat="1" ht="12.6" thickBot="1" x14ac:dyDescent="0.3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</row>
    <row r="773" spans="1:25" s="5" customFormat="1" ht="12.6" thickBot="1" x14ac:dyDescent="0.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</row>
    <row r="774" spans="1:25" s="5" customFormat="1" ht="12.6" thickBot="1" x14ac:dyDescent="0.3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</row>
    <row r="775" spans="1:25" s="5" customFormat="1" ht="12.6" thickBot="1" x14ac:dyDescent="0.3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</row>
    <row r="776" spans="1:25" s="5" customFormat="1" ht="12.6" thickBot="1" x14ac:dyDescent="0.3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</row>
    <row r="777" spans="1:25" s="5" customFormat="1" ht="12.6" thickBot="1" x14ac:dyDescent="0.3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</row>
    <row r="778" spans="1:25" s="5" customFormat="1" ht="12.6" thickBot="1" x14ac:dyDescent="0.3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</row>
    <row r="779" spans="1:25" s="5" customFormat="1" ht="12.6" thickBot="1" x14ac:dyDescent="0.3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</row>
    <row r="780" spans="1:25" s="5" customFormat="1" ht="12.6" thickBot="1" x14ac:dyDescent="0.3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</row>
    <row r="781" spans="1:25" s="5" customFormat="1" ht="12.6" thickBot="1" x14ac:dyDescent="0.3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</row>
    <row r="782" spans="1:25" s="5" customFormat="1" ht="12.6" thickBot="1" x14ac:dyDescent="0.3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</row>
    <row r="783" spans="1:25" s="5" customFormat="1" ht="12.6" thickBot="1" x14ac:dyDescent="0.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</row>
    <row r="784" spans="1:25" s="5" customFormat="1" ht="12.6" thickBot="1" x14ac:dyDescent="0.3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</row>
    <row r="785" spans="1:25" s="5" customFormat="1" ht="12.6" thickBot="1" x14ac:dyDescent="0.3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</row>
    <row r="786" spans="1:25" s="5" customFormat="1" ht="12.6" thickBot="1" x14ac:dyDescent="0.3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</row>
    <row r="787" spans="1:25" s="5" customFormat="1" ht="12.6" thickBot="1" x14ac:dyDescent="0.3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</row>
    <row r="788" spans="1:25" s="5" customFormat="1" ht="12.6" thickBot="1" x14ac:dyDescent="0.3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</row>
    <row r="789" spans="1:25" s="5" customFormat="1" ht="12.6" thickBot="1" x14ac:dyDescent="0.3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</row>
    <row r="790" spans="1:25" s="5" customFormat="1" ht="12.6" thickBot="1" x14ac:dyDescent="0.3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</row>
    <row r="791" spans="1:25" s="5" customFormat="1" ht="12.6" thickBot="1" x14ac:dyDescent="0.3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</row>
    <row r="792" spans="1:25" s="5" customFormat="1" ht="12.6" thickBot="1" x14ac:dyDescent="0.3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</row>
    <row r="793" spans="1:25" s="5" customFormat="1" ht="12.6" thickBot="1" x14ac:dyDescent="0.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</row>
    <row r="794" spans="1:25" s="5" customFormat="1" ht="12.6" thickBot="1" x14ac:dyDescent="0.3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</row>
    <row r="795" spans="1:25" s="5" customFormat="1" ht="12.6" thickBot="1" x14ac:dyDescent="0.3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</row>
    <row r="796" spans="1:25" s="5" customFormat="1" ht="12.6" thickBot="1" x14ac:dyDescent="0.3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</row>
    <row r="797" spans="1:25" s="5" customFormat="1" ht="12.6" thickBot="1" x14ac:dyDescent="0.3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</row>
    <row r="798" spans="1:25" s="5" customFormat="1" ht="12.6" thickBot="1" x14ac:dyDescent="0.3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</row>
    <row r="799" spans="1:25" s="5" customFormat="1" ht="12.6" thickBot="1" x14ac:dyDescent="0.3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</row>
    <row r="800" spans="1:25" s="5" customFormat="1" ht="12.6" thickBot="1" x14ac:dyDescent="0.3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</row>
    <row r="801" spans="1:25" s="5" customFormat="1" ht="12.6" thickBot="1" x14ac:dyDescent="0.3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</row>
    <row r="802" spans="1:25" s="5" customFormat="1" ht="12.6" thickBot="1" x14ac:dyDescent="0.3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</row>
    <row r="803" spans="1:25" s="5" customFormat="1" ht="12.6" thickBot="1" x14ac:dyDescent="0.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</row>
    <row r="804" spans="1:25" s="5" customFormat="1" ht="12.6" thickBot="1" x14ac:dyDescent="0.3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</row>
    <row r="805" spans="1:25" s="5" customFormat="1" ht="12.6" thickBot="1" x14ac:dyDescent="0.3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</row>
    <row r="806" spans="1:25" s="5" customFormat="1" ht="12.6" thickBot="1" x14ac:dyDescent="0.3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</row>
    <row r="807" spans="1:25" s="5" customFormat="1" ht="12.6" thickBot="1" x14ac:dyDescent="0.3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</row>
    <row r="808" spans="1:25" s="5" customFormat="1" ht="12.6" thickBot="1" x14ac:dyDescent="0.3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</row>
    <row r="809" spans="1:25" s="5" customFormat="1" ht="12.6" thickBot="1" x14ac:dyDescent="0.3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</row>
    <row r="810" spans="1:25" s="5" customFormat="1" ht="12.6" thickBot="1" x14ac:dyDescent="0.3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</row>
    <row r="811" spans="1:25" s="5" customFormat="1" ht="12.6" thickBot="1" x14ac:dyDescent="0.3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</row>
    <row r="812" spans="1:25" s="5" customFormat="1" ht="12.6" thickBot="1" x14ac:dyDescent="0.3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</row>
    <row r="813" spans="1:25" s="5" customFormat="1" ht="12.6" thickBot="1" x14ac:dyDescent="0.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</row>
    <row r="814" spans="1:25" s="5" customFormat="1" ht="12.6" thickBot="1" x14ac:dyDescent="0.3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</row>
    <row r="815" spans="1:25" s="5" customFormat="1" ht="12.6" thickBot="1" x14ac:dyDescent="0.3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</row>
    <row r="816" spans="1:25" s="5" customFormat="1" ht="12.6" thickBot="1" x14ac:dyDescent="0.3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</row>
    <row r="817" spans="1:25" s="5" customFormat="1" ht="12.6" thickBot="1" x14ac:dyDescent="0.3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</row>
    <row r="818" spans="1:25" s="5" customFormat="1" ht="12.6" thickBot="1" x14ac:dyDescent="0.3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</row>
    <row r="819" spans="1:25" s="5" customFormat="1" ht="12.6" thickBot="1" x14ac:dyDescent="0.3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</row>
    <row r="820" spans="1:25" s="5" customFormat="1" ht="12.6" thickBot="1" x14ac:dyDescent="0.3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</row>
    <row r="821" spans="1:25" s="5" customFormat="1" ht="12.6" thickBot="1" x14ac:dyDescent="0.3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</row>
    <row r="822" spans="1:25" s="5" customFormat="1" ht="12.6" thickBot="1" x14ac:dyDescent="0.3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</row>
    <row r="823" spans="1:25" s="5" customFormat="1" ht="12.6" thickBot="1" x14ac:dyDescent="0.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</row>
    <row r="824" spans="1:25" s="5" customFormat="1" ht="12.6" thickBot="1" x14ac:dyDescent="0.3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</row>
    <row r="825" spans="1:25" s="5" customFormat="1" ht="12.6" thickBot="1" x14ac:dyDescent="0.3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</row>
    <row r="826" spans="1:25" s="5" customFormat="1" ht="12.6" thickBot="1" x14ac:dyDescent="0.3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</row>
    <row r="827" spans="1:25" s="5" customFormat="1" ht="12.6" thickBot="1" x14ac:dyDescent="0.3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</row>
    <row r="828" spans="1:25" s="5" customFormat="1" ht="12.6" thickBot="1" x14ac:dyDescent="0.3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</row>
    <row r="829" spans="1:25" s="5" customFormat="1" ht="12.6" thickBot="1" x14ac:dyDescent="0.3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</row>
    <row r="830" spans="1:25" s="5" customFormat="1" ht="12.6" thickBot="1" x14ac:dyDescent="0.3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</row>
    <row r="831" spans="1:25" s="5" customFormat="1" ht="12.6" thickBot="1" x14ac:dyDescent="0.3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</row>
    <row r="832" spans="1:25" s="5" customFormat="1" ht="12.6" thickBot="1" x14ac:dyDescent="0.3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</row>
    <row r="833" spans="1:25" s="5" customFormat="1" ht="12.6" thickBot="1" x14ac:dyDescent="0.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</row>
    <row r="834" spans="1:25" s="5" customFormat="1" ht="12.6" thickBot="1" x14ac:dyDescent="0.3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</row>
    <row r="835" spans="1:25" s="5" customFormat="1" ht="12.6" thickBot="1" x14ac:dyDescent="0.3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</row>
    <row r="836" spans="1:25" s="5" customFormat="1" ht="12.6" thickBot="1" x14ac:dyDescent="0.3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</row>
    <row r="837" spans="1:25" s="5" customFormat="1" ht="12.6" thickBot="1" x14ac:dyDescent="0.3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</row>
    <row r="838" spans="1:25" s="5" customFormat="1" ht="12.6" thickBot="1" x14ac:dyDescent="0.3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</row>
    <row r="839" spans="1:25" s="5" customFormat="1" ht="12.6" thickBot="1" x14ac:dyDescent="0.3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</row>
    <row r="840" spans="1:25" s="5" customFormat="1" ht="12.6" thickBot="1" x14ac:dyDescent="0.3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</row>
    <row r="841" spans="1:25" s="5" customFormat="1" ht="12.6" thickBot="1" x14ac:dyDescent="0.3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</row>
    <row r="842" spans="1:25" s="5" customFormat="1" ht="12.6" thickBot="1" x14ac:dyDescent="0.3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</row>
    <row r="843" spans="1:25" s="5" customFormat="1" ht="12.6" thickBot="1" x14ac:dyDescent="0.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</row>
    <row r="844" spans="1:25" s="5" customFormat="1" ht="12.6" thickBot="1" x14ac:dyDescent="0.3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</row>
    <row r="845" spans="1:25" s="5" customFormat="1" ht="12.6" thickBot="1" x14ac:dyDescent="0.3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</row>
    <row r="846" spans="1:25" s="5" customFormat="1" ht="12.6" thickBot="1" x14ac:dyDescent="0.3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</row>
    <row r="847" spans="1:25" s="5" customFormat="1" ht="12.6" thickBot="1" x14ac:dyDescent="0.3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</row>
    <row r="848" spans="1:25" s="5" customFormat="1" ht="12.6" thickBot="1" x14ac:dyDescent="0.3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</row>
    <row r="849" spans="1:25" s="5" customFormat="1" ht="12.6" thickBot="1" x14ac:dyDescent="0.3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</row>
    <row r="850" spans="1:25" s="5" customFormat="1" ht="12.6" thickBot="1" x14ac:dyDescent="0.3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</row>
    <row r="851" spans="1:25" s="5" customFormat="1" ht="12.6" thickBot="1" x14ac:dyDescent="0.3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</row>
    <row r="852" spans="1:25" s="5" customFormat="1" ht="12.6" thickBot="1" x14ac:dyDescent="0.3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</row>
    <row r="853" spans="1:25" s="5" customFormat="1" ht="12.6" thickBot="1" x14ac:dyDescent="0.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</row>
    <row r="854" spans="1:25" s="5" customFormat="1" ht="12.6" thickBot="1" x14ac:dyDescent="0.3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</row>
    <row r="855" spans="1:25" s="5" customFormat="1" ht="12.6" thickBot="1" x14ac:dyDescent="0.3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</row>
    <row r="856" spans="1:25" s="5" customFormat="1" ht="12.6" thickBot="1" x14ac:dyDescent="0.3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</row>
    <row r="857" spans="1:25" s="5" customFormat="1" ht="12.6" thickBot="1" x14ac:dyDescent="0.3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</row>
    <row r="858" spans="1:25" s="5" customFormat="1" ht="12.6" thickBot="1" x14ac:dyDescent="0.3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</row>
    <row r="859" spans="1:25" s="5" customFormat="1" ht="12.6" thickBot="1" x14ac:dyDescent="0.3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</row>
    <row r="860" spans="1:25" s="5" customFormat="1" ht="12.6" thickBot="1" x14ac:dyDescent="0.3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</row>
    <row r="861" spans="1:25" s="5" customFormat="1" ht="12.6" thickBot="1" x14ac:dyDescent="0.3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</row>
    <row r="862" spans="1:25" s="5" customFormat="1" ht="12.6" thickBot="1" x14ac:dyDescent="0.3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</row>
    <row r="863" spans="1:25" s="5" customFormat="1" ht="12.6" thickBot="1" x14ac:dyDescent="0.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</row>
    <row r="864" spans="1:25" s="5" customFormat="1" ht="12.6" thickBot="1" x14ac:dyDescent="0.3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</row>
    <row r="865" spans="1:25" s="5" customFormat="1" ht="12.6" thickBot="1" x14ac:dyDescent="0.3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</row>
    <row r="866" spans="1:25" s="5" customFormat="1" ht="12.6" thickBot="1" x14ac:dyDescent="0.3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</row>
    <row r="867" spans="1:25" s="5" customFormat="1" ht="12.6" thickBot="1" x14ac:dyDescent="0.3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</row>
    <row r="868" spans="1:25" s="5" customFormat="1" ht="12.6" thickBot="1" x14ac:dyDescent="0.3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</row>
    <row r="869" spans="1:25" s="5" customFormat="1" ht="12.6" thickBot="1" x14ac:dyDescent="0.3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</row>
    <row r="870" spans="1:25" s="5" customFormat="1" ht="12.6" thickBot="1" x14ac:dyDescent="0.3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</row>
    <row r="871" spans="1:25" s="5" customFormat="1" ht="12.6" thickBot="1" x14ac:dyDescent="0.3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</row>
    <row r="872" spans="1:25" s="5" customFormat="1" ht="12.6" thickBot="1" x14ac:dyDescent="0.3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</row>
    <row r="873" spans="1:25" s="5" customFormat="1" ht="12.6" thickBot="1" x14ac:dyDescent="0.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</row>
    <row r="874" spans="1:25" s="5" customFormat="1" ht="12.6" thickBot="1" x14ac:dyDescent="0.3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</row>
    <row r="875" spans="1:25" s="5" customFormat="1" ht="12.6" thickBot="1" x14ac:dyDescent="0.3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</row>
    <row r="876" spans="1:25" s="5" customFormat="1" ht="12.6" thickBot="1" x14ac:dyDescent="0.3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</row>
    <row r="877" spans="1:25" s="5" customFormat="1" ht="12.6" thickBot="1" x14ac:dyDescent="0.3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</row>
    <row r="878" spans="1:25" s="5" customFormat="1" ht="12.6" thickBot="1" x14ac:dyDescent="0.3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</row>
    <row r="879" spans="1:25" s="5" customFormat="1" ht="12.6" thickBot="1" x14ac:dyDescent="0.3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</row>
    <row r="880" spans="1:25" s="5" customFormat="1" ht="12.6" thickBot="1" x14ac:dyDescent="0.3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</row>
    <row r="881" spans="1:25" s="5" customFormat="1" ht="12.6" thickBot="1" x14ac:dyDescent="0.3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</row>
    <row r="882" spans="1:25" s="5" customFormat="1" ht="12.6" thickBot="1" x14ac:dyDescent="0.3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</row>
    <row r="883" spans="1:25" s="5" customFormat="1" ht="12.6" thickBot="1" x14ac:dyDescent="0.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</row>
    <row r="884" spans="1:25" s="5" customFormat="1" ht="12.6" thickBot="1" x14ac:dyDescent="0.3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</row>
    <row r="885" spans="1:25" s="5" customFormat="1" ht="12.6" thickBot="1" x14ac:dyDescent="0.3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</row>
    <row r="886" spans="1:25" s="5" customFormat="1" ht="12.6" thickBot="1" x14ac:dyDescent="0.3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</row>
    <row r="887" spans="1:25" s="5" customFormat="1" ht="12.6" thickBot="1" x14ac:dyDescent="0.3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</row>
    <row r="888" spans="1:25" s="5" customFormat="1" ht="12.6" thickBot="1" x14ac:dyDescent="0.3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</row>
    <row r="889" spans="1:25" s="5" customFormat="1" ht="12.6" thickBot="1" x14ac:dyDescent="0.3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</row>
    <row r="890" spans="1:25" s="5" customFormat="1" ht="12.6" thickBot="1" x14ac:dyDescent="0.3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</row>
    <row r="891" spans="1:25" s="5" customFormat="1" ht="12.6" thickBot="1" x14ac:dyDescent="0.3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</row>
    <row r="892" spans="1:25" s="5" customFormat="1" ht="12.6" thickBot="1" x14ac:dyDescent="0.3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</row>
    <row r="893" spans="1:25" s="5" customFormat="1" ht="12.6" thickBot="1" x14ac:dyDescent="0.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</row>
    <row r="894" spans="1:25" s="5" customFormat="1" ht="12.6" thickBot="1" x14ac:dyDescent="0.3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</row>
    <row r="895" spans="1:25" s="5" customFormat="1" ht="12.6" thickBot="1" x14ac:dyDescent="0.3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</row>
    <row r="896" spans="1:25" s="5" customFormat="1" ht="12.6" thickBot="1" x14ac:dyDescent="0.3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</row>
    <row r="897" spans="1:25" s="5" customFormat="1" ht="12.6" thickBot="1" x14ac:dyDescent="0.3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</row>
    <row r="898" spans="1:25" s="5" customFormat="1" ht="12.6" thickBot="1" x14ac:dyDescent="0.3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</row>
    <row r="899" spans="1:25" s="5" customFormat="1" ht="12.6" thickBot="1" x14ac:dyDescent="0.3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</row>
    <row r="900" spans="1:25" s="5" customFormat="1" ht="12.6" thickBot="1" x14ac:dyDescent="0.3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</row>
    <row r="901" spans="1:25" s="5" customFormat="1" ht="12.6" thickBot="1" x14ac:dyDescent="0.3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</row>
    <row r="902" spans="1:25" s="5" customFormat="1" ht="12.6" thickBot="1" x14ac:dyDescent="0.3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</row>
    <row r="903" spans="1:25" s="5" customFormat="1" ht="12.6" thickBot="1" x14ac:dyDescent="0.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</row>
    <row r="904" spans="1:25" s="5" customFormat="1" ht="12.6" thickBot="1" x14ac:dyDescent="0.3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</row>
    <row r="905" spans="1:25" s="5" customFormat="1" ht="12.6" thickBot="1" x14ac:dyDescent="0.3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</row>
    <row r="906" spans="1:25" s="5" customFormat="1" ht="12.6" thickBot="1" x14ac:dyDescent="0.3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</row>
    <row r="907" spans="1:25" s="5" customFormat="1" ht="12.6" thickBot="1" x14ac:dyDescent="0.3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</row>
    <row r="908" spans="1:25" s="5" customFormat="1" ht="12.6" thickBot="1" x14ac:dyDescent="0.3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</row>
    <row r="909" spans="1:25" s="5" customFormat="1" ht="12.6" thickBot="1" x14ac:dyDescent="0.3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</row>
    <row r="910" spans="1:25" s="5" customFormat="1" ht="12.6" thickBot="1" x14ac:dyDescent="0.3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</row>
    <row r="911" spans="1:25" s="5" customFormat="1" ht="12.6" thickBot="1" x14ac:dyDescent="0.3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</row>
    <row r="912" spans="1:25" s="5" customFormat="1" ht="12.6" thickBot="1" x14ac:dyDescent="0.3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</row>
    <row r="913" spans="1:25" s="5" customFormat="1" ht="12.6" thickBot="1" x14ac:dyDescent="0.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</row>
    <row r="914" spans="1:25" s="5" customFormat="1" ht="12.6" thickBot="1" x14ac:dyDescent="0.3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</row>
    <row r="915" spans="1:25" s="5" customFormat="1" ht="12.6" thickBot="1" x14ac:dyDescent="0.3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</row>
    <row r="916" spans="1:25" s="5" customFormat="1" ht="12.6" thickBot="1" x14ac:dyDescent="0.3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</row>
    <row r="917" spans="1:25" s="5" customFormat="1" ht="12.6" thickBot="1" x14ac:dyDescent="0.3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</row>
    <row r="918" spans="1:25" s="5" customFormat="1" ht="12.6" thickBot="1" x14ac:dyDescent="0.3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</row>
    <row r="919" spans="1:25" s="5" customFormat="1" ht="12.6" thickBot="1" x14ac:dyDescent="0.3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</row>
    <row r="920" spans="1:25" s="5" customFormat="1" ht="12.6" thickBot="1" x14ac:dyDescent="0.3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</row>
    <row r="921" spans="1:25" s="5" customFormat="1" ht="12.6" thickBot="1" x14ac:dyDescent="0.3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</row>
    <row r="922" spans="1:25" s="5" customFormat="1" ht="12.6" thickBot="1" x14ac:dyDescent="0.3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</row>
    <row r="923" spans="1:25" s="5" customFormat="1" ht="12.6" thickBot="1" x14ac:dyDescent="0.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</row>
    <row r="924" spans="1:25" s="5" customFormat="1" ht="12.6" thickBot="1" x14ac:dyDescent="0.3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</row>
    <row r="925" spans="1:25" s="5" customFormat="1" ht="12.6" thickBot="1" x14ac:dyDescent="0.3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</row>
    <row r="926" spans="1:25" s="5" customFormat="1" ht="12.6" thickBot="1" x14ac:dyDescent="0.3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</row>
    <row r="927" spans="1:25" s="5" customFormat="1" ht="12.6" thickBot="1" x14ac:dyDescent="0.3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</row>
    <row r="928" spans="1:25" s="5" customFormat="1" ht="12.6" thickBot="1" x14ac:dyDescent="0.3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</row>
    <row r="929" spans="1:25" s="5" customFormat="1" ht="12.6" thickBot="1" x14ac:dyDescent="0.3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</row>
    <row r="930" spans="1:25" s="5" customFormat="1" ht="12.6" thickBot="1" x14ac:dyDescent="0.3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</row>
    <row r="931" spans="1:25" s="5" customFormat="1" ht="12.6" thickBot="1" x14ac:dyDescent="0.3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</row>
    <row r="932" spans="1:25" s="5" customFormat="1" ht="12.6" thickBot="1" x14ac:dyDescent="0.3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</row>
    <row r="933" spans="1:25" s="5" customFormat="1" ht="12.6" thickBot="1" x14ac:dyDescent="0.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</row>
    <row r="934" spans="1:25" s="5" customFormat="1" ht="12.6" thickBot="1" x14ac:dyDescent="0.3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</row>
    <row r="935" spans="1:25" s="5" customFormat="1" ht="12.6" thickBot="1" x14ac:dyDescent="0.3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</row>
    <row r="936" spans="1:25" s="5" customFormat="1" ht="12.6" thickBot="1" x14ac:dyDescent="0.3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</row>
    <row r="937" spans="1:25" s="5" customFormat="1" ht="12.6" thickBot="1" x14ac:dyDescent="0.3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</row>
    <row r="938" spans="1:25" s="5" customFormat="1" ht="12.6" thickBot="1" x14ac:dyDescent="0.3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</row>
    <row r="939" spans="1:25" s="5" customFormat="1" ht="12.6" thickBot="1" x14ac:dyDescent="0.3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</row>
    <row r="940" spans="1:25" s="5" customFormat="1" ht="12.6" thickBot="1" x14ac:dyDescent="0.3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</row>
    <row r="941" spans="1:25" s="5" customFormat="1" ht="12.6" thickBot="1" x14ac:dyDescent="0.3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</row>
    <row r="942" spans="1:25" s="5" customFormat="1" ht="12.6" thickBot="1" x14ac:dyDescent="0.3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</row>
    <row r="943" spans="1:25" s="5" customFormat="1" ht="12.6" thickBot="1" x14ac:dyDescent="0.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</row>
    <row r="944" spans="1:25" s="5" customFormat="1" ht="12.6" thickBot="1" x14ac:dyDescent="0.3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</row>
    <row r="945" spans="1:25" s="5" customFormat="1" ht="12.6" thickBot="1" x14ac:dyDescent="0.3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</row>
    <row r="946" spans="1:25" s="5" customFormat="1" ht="12.6" thickBot="1" x14ac:dyDescent="0.3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</row>
    <row r="947" spans="1:25" s="5" customFormat="1" ht="12.6" thickBot="1" x14ac:dyDescent="0.3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</row>
    <row r="948" spans="1:25" s="5" customFormat="1" ht="12.6" thickBot="1" x14ac:dyDescent="0.3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</row>
    <row r="949" spans="1:25" s="5" customFormat="1" ht="12.6" thickBot="1" x14ac:dyDescent="0.3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</row>
    <row r="950" spans="1:25" s="5" customFormat="1" ht="12.6" thickBot="1" x14ac:dyDescent="0.3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</row>
    <row r="951" spans="1:25" s="5" customFormat="1" ht="12.6" thickBot="1" x14ac:dyDescent="0.3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</row>
    <row r="952" spans="1:25" s="5" customFormat="1" ht="12.6" thickBot="1" x14ac:dyDescent="0.3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</row>
    <row r="953" spans="1:25" s="5" customFormat="1" ht="12.6" thickBot="1" x14ac:dyDescent="0.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</row>
    <row r="954" spans="1:25" s="5" customFormat="1" ht="12.6" thickBot="1" x14ac:dyDescent="0.3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</row>
    <row r="955" spans="1:25" s="5" customFormat="1" ht="12.6" thickBot="1" x14ac:dyDescent="0.3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</row>
    <row r="956" spans="1:25" s="5" customFormat="1" ht="12.6" thickBot="1" x14ac:dyDescent="0.3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</row>
    <row r="957" spans="1:25" s="5" customFormat="1" ht="12.6" thickBot="1" x14ac:dyDescent="0.3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</row>
    <row r="958" spans="1:25" s="5" customFormat="1" ht="12.6" thickBot="1" x14ac:dyDescent="0.3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</row>
    <row r="959" spans="1:25" s="5" customFormat="1" ht="12.6" thickBot="1" x14ac:dyDescent="0.3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</row>
    <row r="960" spans="1:25" s="5" customFormat="1" ht="12.6" thickBot="1" x14ac:dyDescent="0.3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</row>
    <row r="961" spans="1:25" s="5" customFormat="1" ht="12.6" thickBot="1" x14ac:dyDescent="0.3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</row>
    <row r="962" spans="1:25" s="5" customFormat="1" ht="12.6" thickBot="1" x14ac:dyDescent="0.3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</row>
    <row r="963" spans="1:25" s="5" customFormat="1" ht="12.6" thickBot="1" x14ac:dyDescent="0.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</row>
    <row r="964" spans="1:25" s="5" customFormat="1" ht="12.6" thickBot="1" x14ac:dyDescent="0.3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</row>
    <row r="965" spans="1:25" s="5" customFormat="1" ht="12.6" thickBot="1" x14ac:dyDescent="0.3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</row>
    <row r="966" spans="1:25" s="5" customFormat="1" ht="12.6" thickBot="1" x14ac:dyDescent="0.3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</row>
    <row r="967" spans="1:25" s="5" customFormat="1" ht="12.6" thickBot="1" x14ac:dyDescent="0.3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</row>
    <row r="968" spans="1:25" s="5" customFormat="1" ht="12.6" thickBot="1" x14ac:dyDescent="0.3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</row>
    <row r="969" spans="1:25" s="5" customFormat="1" ht="12.6" thickBot="1" x14ac:dyDescent="0.3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</row>
    <row r="970" spans="1:25" s="5" customFormat="1" ht="12.6" thickBot="1" x14ac:dyDescent="0.3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</row>
    <row r="971" spans="1:25" s="5" customFormat="1" ht="12.6" thickBot="1" x14ac:dyDescent="0.3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</row>
    <row r="972" spans="1:25" s="5" customFormat="1" ht="12.6" thickBot="1" x14ac:dyDescent="0.3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</row>
    <row r="973" spans="1:25" s="5" customFormat="1" ht="12.6" thickBot="1" x14ac:dyDescent="0.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</row>
    <row r="974" spans="1:25" s="5" customFormat="1" ht="12.6" thickBot="1" x14ac:dyDescent="0.3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</row>
    <row r="975" spans="1:25" s="5" customFormat="1" ht="12.6" thickBot="1" x14ac:dyDescent="0.3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</row>
    <row r="976" spans="1:25" s="5" customFormat="1" ht="12.6" thickBot="1" x14ac:dyDescent="0.3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</row>
    <row r="977" spans="1:25" s="5" customFormat="1" ht="12.6" thickBot="1" x14ac:dyDescent="0.3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</row>
    <row r="978" spans="1:25" s="5" customFormat="1" ht="12.6" thickBot="1" x14ac:dyDescent="0.3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</row>
    <row r="979" spans="1:25" s="5" customFormat="1" ht="12.6" thickBot="1" x14ac:dyDescent="0.3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</row>
    <row r="980" spans="1:25" s="5" customFormat="1" ht="12.6" thickBot="1" x14ac:dyDescent="0.3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</row>
    <row r="981" spans="1:25" s="5" customFormat="1" ht="12.6" thickBot="1" x14ac:dyDescent="0.3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</row>
    <row r="982" spans="1:25" s="5" customFormat="1" ht="12.6" thickBot="1" x14ac:dyDescent="0.3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</row>
    <row r="983" spans="1:25" s="5" customFormat="1" ht="12.6" thickBot="1" x14ac:dyDescent="0.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</row>
    <row r="984" spans="1:25" s="5" customFormat="1" ht="12.6" thickBot="1" x14ac:dyDescent="0.3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</row>
    <row r="985" spans="1:25" s="5" customFormat="1" ht="12.6" thickBot="1" x14ac:dyDescent="0.3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</row>
    <row r="986" spans="1:25" s="5" customFormat="1" ht="12.6" thickBot="1" x14ac:dyDescent="0.3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</row>
    <row r="987" spans="1:25" s="5" customFormat="1" ht="12.6" thickBot="1" x14ac:dyDescent="0.3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</row>
    <row r="988" spans="1:25" s="5" customFormat="1" ht="12.6" thickBot="1" x14ac:dyDescent="0.3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</row>
    <row r="989" spans="1:25" s="5" customFormat="1" ht="12.6" thickBot="1" x14ac:dyDescent="0.3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</row>
    <row r="990" spans="1:25" s="5" customFormat="1" ht="12.6" thickBot="1" x14ac:dyDescent="0.3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</row>
    <row r="991" spans="1:25" s="5" customFormat="1" ht="12.6" thickBot="1" x14ac:dyDescent="0.3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</row>
    <row r="992" spans="1:25" s="5" customFormat="1" ht="12.6" thickBot="1" x14ac:dyDescent="0.3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</row>
    <row r="993" spans="1:25" s="5" customFormat="1" ht="12.6" thickBot="1" x14ac:dyDescent="0.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</row>
    <row r="994" spans="1:25" s="5" customFormat="1" ht="12.6" thickBot="1" x14ac:dyDescent="0.3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</row>
    <row r="995" spans="1:25" s="5" customFormat="1" ht="12.6" thickBot="1" x14ac:dyDescent="0.3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</row>
    <row r="996" spans="1:25" s="5" customFormat="1" ht="12.6" thickBot="1" x14ac:dyDescent="0.3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</row>
    <row r="997" spans="1:25" s="5" customFormat="1" ht="12.6" thickBot="1" x14ac:dyDescent="0.3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</row>
    <row r="998" spans="1:25" s="5" customFormat="1" ht="12.6" thickBot="1" x14ac:dyDescent="0.3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</row>
    <row r="999" spans="1:25" s="5" customFormat="1" ht="12.6" thickBot="1" x14ac:dyDescent="0.3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</row>
    <row r="1000" spans="1:25" s="5" customFormat="1" ht="12.6" thickBot="1" x14ac:dyDescent="0.3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41D44-7C9F-4FFD-B13F-1928F3FE3E58}">
  <dimension ref="A1:AN28"/>
  <sheetViews>
    <sheetView topLeftCell="X1" workbookViewId="0">
      <selection activeCell="AA6" sqref="AA6:AH7"/>
    </sheetView>
  </sheetViews>
  <sheetFormatPr baseColWidth="10" defaultRowHeight="14.4" x14ac:dyDescent="0.3"/>
  <sheetData>
    <row r="1" spans="1:40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/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</row>
    <row r="2" spans="1:40" x14ac:dyDescent="0.3">
      <c r="A2" t="s">
        <v>39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H2">
        <v>108384</v>
      </c>
      <c r="I2">
        <f>VLOOKUP(H2,Hoja2!A:A,1,0)</f>
        <v>108384</v>
      </c>
      <c r="J2" t="s">
        <v>44</v>
      </c>
      <c r="K2" t="s">
        <v>45</v>
      </c>
      <c r="L2" t="s">
        <v>46</v>
      </c>
      <c r="M2" t="s">
        <v>47</v>
      </c>
      <c r="P2" t="s">
        <v>48</v>
      </c>
      <c r="Q2">
        <v>10430</v>
      </c>
      <c r="R2" s="1">
        <v>43740</v>
      </c>
      <c r="S2" s="1">
        <v>43740</v>
      </c>
      <c r="T2" t="s">
        <v>49</v>
      </c>
      <c r="U2" s="1">
        <v>43740</v>
      </c>
      <c r="V2" t="s">
        <v>50</v>
      </c>
      <c r="W2" t="s">
        <v>51</v>
      </c>
      <c r="X2" t="s">
        <v>52</v>
      </c>
      <c r="Y2" t="s">
        <v>53</v>
      </c>
      <c r="Z2" t="s">
        <v>54</v>
      </c>
      <c r="AA2" t="s">
        <v>55</v>
      </c>
      <c r="AB2" t="s">
        <v>56</v>
      </c>
      <c r="AC2" t="s">
        <v>57</v>
      </c>
      <c r="AD2">
        <v>140</v>
      </c>
      <c r="AE2">
        <v>8</v>
      </c>
      <c r="AF2" t="s">
        <v>58</v>
      </c>
      <c r="AG2" t="s">
        <v>59</v>
      </c>
      <c r="AH2" t="s">
        <v>58</v>
      </c>
      <c r="AI2" t="s">
        <v>60</v>
      </c>
      <c r="AJ2" t="s">
        <v>61</v>
      </c>
      <c r="AK2" t="s">
        <v>62</v>
      </c>
      <c r="AL2">
        <v>2765000</v>
      </c>
    </row>
    <row r="3" spans="1:40" x14ac:dyDescent="0.3">
      <c r="A3" t="s">
        <v>39</v>
      </c>
      <c r="B3" t="s">
        <v>39</v>
      </c>
      <c r="C3" t="s">
        <v>40</v>
      </c>
      <c r="D3" t="s">
        <v>41</v>
      </c>
      <c r="E3" t="s">
        <v>42</v>
      </c>
      <c r="F3" t="s">
        <v>43</v>
      </c>
      <c r="H3">
        <v>107947</v>
      </c>
      <c r="I3">
        <f>VLOOKUP(H3,Hoja2!A:A,1,0)</f>
        <v>107947</v>
      </c>
      <c r="J3" t="s">
        <v>63</v>
      </c>
      <c r="K3" t="s">
        <v>64</v>
      </c>
      <c r="L3" t="s">
        <v>65</v>
      </c>
      <c r="M3" t="s">
        <v>47</v>
      </c>
      <c r="P3" t="s">
        <v>48</v>
      </c>
      <c r="Q3">
        <v>4251</v>
      </c>
      <c r="R3" s="1">
        <v>43580</v>
      </c>
      <c r="S3" s="1">
        <v>43580</v>
      </c>
      <c r="T3" t="s">
        <v>49</v>
      </c>
      <c r="U3" s="1">
        <v>43591.495775462965</v>
      </c>
      <c r="V3" t="s">
        <v>50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>
        <v>140</v>
      </c>
      <c r="AE3">
        <v>8</v>
      </c>
      <c r="AF3" t="s">
        <v>58</v>
      </c>
      <c r="AG3" t="s">
        <v>59</v>
      </c>
      <c r="AH3" t="s">
        <v>58</v>
      </c>
      <c r="AI3" t="s">
        <v>60</v>
      </c>
      <c r="AJ3" t="s">
        <v>61</v>
      </c>
      <c r="AK3" t="s">
        <v>62</v>
      </c>
      <c r="AL3">
        <v>2765000</v>
      </c>
    </row>
    <row r="4" spans="1:40" x14ac:dyDescent="0.3">
      <c r="A4" t="s">
        <v>39</v>
      </c>
      <c r="B4" t="s">
        <v>39</v>
      </c>
      <c r="C4" t="s">
        <v>40</v>
      </c>
      <c r="D4" t="s">
        <v>41</v>
      </c>
      <c r="E4" t="s">
        <v>42</v>
      </c>
      <c r="F4" t="s">
        <v>43</v>
      </c>
      <c r="H4">
        <v>109042</v>
      </c>
      <c r="I4">
        <f>VLOOKUP(H4,Hoja2!A:A,1,0)</f>
        <v>109042</v>
      </c>
      <c r="J4" t="s">
        <v>66</v>
      </c>
      <c r="K4" t="s">
        <v>67</v>
      </c>
      <c r="L4" t="s">
        <v>68</v>
      </c>
      <c r="M4" t="s">
        <v>47</v>
      </c>
      <c r="P4" t="s">
        <v>48</v>
      </c>
      <c r="Q4">
        <v>16943</v>
      </c>
      <c r="R4" s="1">
        <v>43826</v>
      </c>
      <c r="S4" s="1">
        <v>43826</v>
      </c>
      <c r="T4" t="s">
        <v>49</v>
      </c>
      <c r="U4" s="1">
        <v>43826</v>
      </c>
      <c r="V4" t="s">
        <v>50</v>
      </c>
      <c r="W4" t="s">
        <v>51</v>
      </c>
      <c r="X4" t="s">
        <v>52</v>
      </c>
      <c r="Y4" t="s">
        <v>53</v>
      </c>
      <c r="Z4" t="s">
        <v>54</v>
      </c>
      <c r="AA4" t="s">
        <v>55</v>
      </c>
      <c r="AB4" t="s">
        <v>56</v>
      </c>
      <c r="AC4" t="s">
        <v>57</v>
      </c>
      <c r="AD4">
        <v>142</v>
      </c>
      <c r="AE4">
        <v>8</v>
      </c>
      <c r="AF4" t="s">
        <v>58</v>
      </c>
      <c r="AG4" t="s">
        <v>59</v>
      </c>
      <c r="AH4" t="s">
        <v>58</v>
      </c>
      <c r="AI4" t="s">
        <v>60</v>
      </c>
      <c r="AJ4" t="s">
        <v>61</v>
      </c>
      <c r="AK4" t="s">
        <v>62</v>
      </c>
      <c r="AL4">
        <v>2765000</v>
      </c>
    </row>
    <row r="5" spans="1:40" x14ac:dyDescent="0.3">
      <c r="A5" t="s">
        <v>39</v>
      </c>
      <c r="B5" t="s">
        <v>39</v>
      </c>
      <c r="C5" t="s">
        <v>40</v>
      </c>
      <c r="D5" t="s">
        <v>41</v>
      </c>
      <c r="E5" t="s">
        <v>42</v>
      </c>
      <c r="F5" t="s">
        <v>43</v>
      </c>
      <c r="H5">
        <v>109345</v>
      </c>
      <c r="I5">
        <f>VLOOKUP(H5,Hoja2!A:A,1,0)</f>
        <v>109345</v>
      </c>
      <c r="J5" t="s">
        <v>69</v>
      </c>
      <c r="K5" t="s">
        <v>70</v>
      </c>
      <c r="L5" t="s">
        <v>71</v>
      </c>
      <c r="M5" t="s">
        <v>47</v>
      </c>
      <c r="P5" t="s">
        <v>48</v>
      </c>
      <c r="Q5">
        <v>12790</v>
      </c>
      <c r="R5" s="1">
        <v>44022</v>
      </c>
      <c r="S5" s="1">
        <v>44028</v>
      </c>
      <c r="T5" t="s">
        <v>49</v>
      </c>
      <c r="U5" s="1">
        <v>44028</v>
      </c>
      <c r="V5" t="s">
        <v>72</v>
      </c>
      <c r="W5" t="s">
        <v>73</v>
      </c>
      <c r="X5" t="s">
        <v>74</v>
      </c>
      <c r="Y5" t="s">
        <v>75</v>
      </c>
      <c r="Z5" t="s">
        <v>76</v>
      </c>
      <c r="AA5" t="s">
        <v>55</v>
      </c>
      <c r="AB5" t="s">
        <v>56</v>
      </c>
      <c r="AC5" t="s">
        <v>57</v>
      </c>
      <c r="AD5">
        <v>160</v>
      </c>
      <c r="AE5">
        <v>9</v>
      </c>
      <c r="AF5" t="s">
        <v>58</v>
      </c>
      <c r="AG5" t="s">
        <v>59</v>
      </c>
      <c r="AH5" t="s">
        <v>58</v>
      </c>
      <c r="AI5" t="s">
        <v>60</v>
      </c>
      <c r="AJ5" t="s">
        <v>61</v>
      </c>
      <c r="AK5" t="s">
        <v>62</v>
      </c>
      <c r="AL5">
        <v>2765000</v>
      </c>
    </row>
    <row r="6" spans="1:40" x14ac:dyDescent="0.3">
      <c r="A6" t="s">
        <v>39</v>
      </c>
      <c r="B6" t="s">
        <v>39</v>
      </c>
      <c r="C6" t="s">
        <v>40</v>
      </c>
      <c r="D6" t="s">
        <v>41</v>
      </c>
      <c r="E6" t="s">
        <v>42</v>
      </c>
      <c r="F6" t="s">
        <v>43</v>
      </c>
      <c r="H6">
        <v>119077</v>
      </c>
      <c r="I6">
        <f>VLOOKUP(H6,Hoja2!A:A,1,0)</f>
        <v>119077</v>
      </c>
      <c r="K6" t="s">
        <v>258</v>
      </c>
      <c r="L6" t="s">
        <v>259</v>
      </c>
      <c r="M6" t="s">
        <v>47</v>
      </c>
      <c r="P6" t="s">
        <v>48</v>
      </c>
      <c r="Q6">
        <v>9061</v>
      </c>
      <c r="R6" s="1">
        <v>46113</v>
      </c>
      <c r="S6" s="1">
        <v>46133</v>
      </c>
      <c r="T6" t="s">
        <v>49</v>
      </c>
      <c r="U6" s="1">
        <v>46133</v>
      </c>
      <c r="V6" t="s">
        <v>89</v>
      </c>
      <c r="W6" t="s">
        <v>260</v>
      </c>
      <c r="X6" t="s">
        <v>261</v>
      </c>
      <c r="Y6" t="s">
        <v>134</v>
      </c>
      <c r="Z6" t="s">
        <v>262</v>
      </c>
      <c r="AA6" t="s">
        <v>55</v>
      </c>
      <c r="AB6" t="s">
        <v>56</v>
      </c>
      <c r="AC6" t="s">
        <v>57</v>
      </c>
      <c r="AD6">
        <v>147</v>
      </c>
      <c r="AE6">
        <v>9</v>
      </c>
      <c r="AF6" t="s">
        <v>58</v>
      </c>
      <c r="AG6" t="s">
        <v>59</v>
      </c>
      <c r="AH6" t="s">
        <v>58</v>
      </c>
      <c r="AI6" t="s">
        <v>60</v>
      </c>
      <c r="AJ6" t="s">
        <v>61</v>
      </c>
      <c r="AK6" t="s">
        <v>62</v>
      </c>
    </row>
    <row r="7" spans="1:40" x14ac:dyDescent="0.3">
      <c r="A7" t="s">
        <v>39</v>
      </c>
      <c r="B7" t="s">
        <v>39</v>
      </c>
      <c r="C7" t="s">
        <v>40</v>
      </c>
      <c r="D7" t="s">
        <v>41</v>
      </c>
      <c r="E7" t="s">
        <v>42</v>
      </c>
      <c r="F7" t="s">
        <v>43</v>
      </c>
      <c r="H7">
        <v>119128</v>
      </c>
      <c r="I7">
        <f>VLOOKUP(H7,Hoja2!A:A,1,0)</f>
        <v>119128</v>
      </c>
      <c r="K7" t="s">
        <v>168</v>
      </c>
      <c r="L7" t="s">
        <v>263</v>
      </c>
      <c r="M7" t="s">
        <v>47</v>
      </c>
      <c r="P7" t="s">
        <v>48</v>
      </c>
      <c r="Q7">
        <v>10348</v>
      </c>
      <c r="R7" s="1">
        <v>46128</v>
      </c>
      <c r="S7" s="1">
        <v>46149</v>
      </c>
      <c r="T7" t="s">
        <v>49</v>
      </c>
      <c r="U7" s="1">
        <v>46149</v>
      </c>
      <c r="V7" t="s">
        <v>50</v>
      </c>
      <c r="W7" t="s">
        <v>264</v>
      </c>
      <c r="X7" t="s">
        <v>264</v>
      </c>
      <c r="Y7" t="s">
        <v>134</v>
      </c>
      <c r="Z7" t="s">
        <v>265</v>
      </c>
      <c r="AA7" t="s">
        <v>55</v>
      </c>
      <c r="AB7" t="s">
        <v>56</v>
      </c>
      <c r="AC7" t="s">
        <v>57</v>
      </c>
      <c r="AD7">
        <v>165</v>
      </c>
      <c r="AE7">
        <v>10</v>
      </c>
      <c r="AF7" t="s">
        <v>58</v>
      </c>
      <c r="AG7" t="s">
        <v>59</v>
      </c>
      <c r="AH7" t="s">
        <v>58</v>
      </c>
      <c r="AI7" t="s">
        <v>60</v>
      </c>
      <c r="AJ7" t="s">
        <v>61</v>
      </c>
      <c r="AK7" t="s">
        <v>62</v>
      </c>
    </row>
    <row r="8" spans="1:40" x14ac:dyDescent="0.3">
      <c r="A8" t="s">
        <v>39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  <c r="H8">
        <v>109937</v>
      </c>
      <c r="I8">
        <f>VLOOKUP(H8,Hoja2!A:A,1,0)</f>
        <v>109937</v>
      </c>
      <c r="J8" t="s">
        <v>77</v>
      </c>
      <c r="K8" t="s">
        <v>78</v>
      </c>
      <c r="L8" t="s">
        <v>79</v>
      </c>
      <c r="M8" t="s">
        <v>47</v>
      </c>
      <c r="P8" t="s">
        <v>48</v>
      </c>
      <c r="Q8">
        <v>5018</v>
      </c>
      <c r="R8" s="1">
        <v>44279</v>
      </c>
      <c r="S8" s="1">
        <v>44281</v>
      </c>
      <c r="T8" t="s">
        <v>49</v>
      </c>
      <c r="U8" s="1">
        <v>44298.922939814816</v>
      </c>
      <c r="V8" t="s">
        <v>80</v>
      </c>
      <c r="W8" t="s">
        <v>80</v>
      </c>
      <c r="X8" t="s">
        <v>81</v>
      </c>
      <c r="Y8" t="s">
        <v>75</v>
      </c>
      <c r="Z8" t="s">
        <v>82</v>
      </c>
      <c r="AA8" t="s">
        <v>83</v>
      </c>
      <c r="AB8" t="s">
        <v>84</v>
      </c>
      <c r="AC8" t="s">
        <v>57</v>
      </c>
      <c r="AD8">
        <v>24</v>
      </c>
      <c r="AE8">
        <v>2</v>
      </c>
      <c r="AF8" t="s">
        <v>58</v>
      </c>
      <c r="AG8" t="s">
        <v>59</v>
      </c>
      <c r="AH8" t="s">
        <v>85</v>
      </c>
      <c r="AI8" t="s">
        <v>60</v>
      </c>
      <c r="AJ8" t="s">
        <v>61</v>
      </c>
      <c r="AK8" t="s">
        <v>62</v>
      </c>
      <c r="AL8">
        <v>6320000</v>
      </c>
    </row>
    <row r="9" spans="1:40" x14ac:dyDescent="0.3">
      <c r="A9" t="s">
        <v>39</v>
      </c>
      <c r="B9" t="s">
        <v>39</v>
      </c>
      <c r="C9" t="s">
        <v>40</v>
      </c>
      <c r="D9" t="s">
        <v>41</v>
      </c>
      <c r="E9" t="s">
        <v>42</v>
      </c>
      <c r="F9" t="s">
        <v>43</v>
      </c>
      <c r="H9">
        <v>108268</v>
      </c>
      <c r="I9">
        <f>VLOOKUP(H9,Hoja2!A:A,1,0)</f>
        <v>108268</v>
      </c>
      <c r="J9" t="s">
        <v>86</v>
      </c>
      <c r="K9" t="s">
        <v>87</v>
      </c>
      <c r="L9" t="s">
        <v>88</v>
      </c>
      <c r="M9" t="s">
        <v>47</v>
      </c>
      <c r="P9" t="s">
        <v>48</v>
      </c>
      <c r="Q9">
        <v>9130</v>
      </c>
      <c r="R9" s="1">
        <v>43706</v>
      </c>
      <c r="S9" s="1">
        <v>43706</v>
      </c>
      <c r="T9" t="s">
        <v>49</v>
      </c>
      <c r="U9" s="1">
        <v>43720.593472222223</v>
      </c>
      <c r="V9" t="s">
        <v>89</v>
      </c>
      <c r="W9" t="s">
        <v>90</v>
      </c>
      <c r="X9" t="s">
        <v>90</v>
      </c>
      <c r="Y9" t="s">
        <v>53</v>
      </c>
      <c r="Z9" t="s">
        <v>54</v>
      </c>
      <c r="AA9" t="s">
        <v>83</v>
      </c>
      <c r="AB9" t="s">
        <v>84</v>
      </c>
      <c r="AC9" t="s">
        <v>57</v>
      </c>
      <c r="AD9">
        <v>24</v>
      </c>
      <c r="AE9">
        <v>2</v>
      </c>
      <c r="AF9" t="s">
        <v>58</v>
      </c>
      <c r="AG9" t="s">
        <v>59</v>
      </c>
      <c r="AH9" t="s">
        <v>58</v>
      </c>
      <c r="AI9" t="s">
        <v>60</v>
      </c>
      <c r="AJ9" t="s">
        <v>61</v>
      </c>
      <c r="AK9" t="s">
        <v>62</v>
      </c>
      <c r="AL9">
        <v>6320000</v>
      </c>
    </row>
    <row r="10" spans="1:40" x14ac:dyDescent="0.3">
      <c r="A10" t="s">
        <v>39</v>
      </c>
      <c r="B10" t="s">
        <v>39</v>
      </c>
      <c r="C10" t="s">
        <v>40</v>
      </c>
      <c r="D10" t="s">
        <v>41</v>
      </c>
      <c r="E10" t="s">
        <v>42</v>
      </c>
      <c r="F10" t="s">
        <v>43</v>
      </c>
      <c r="H10">
        <v>116295</v>
      </c>
      <c r="I10">
        <f>VLOOKUP(H10,Hoja2!A:A,1,0)</f>
        <v>116295</v>
      </c>
      <c r="K10" t="s">
        <v>162</v>
      </c>
      <c r="L10" t="s">
        <v>91</v>
      </c>
      <c r="M10" t="s">
        <v>47</v>
      </c>
      <c r="P10" t="s">
        <v>48</v>
      </c>
      <c r="Q10">
        <v>23141</v>
      </c>
      <c r="R10" s="1">
        <v>45259</v>
      </c>
      <c r="S10" s="1">
        <v>45266</v>
      </c>
      <c r="T10" t="s">
        <v>49</v>
      </c>
      <c r="U10" s="1">
        <v>45266</v>
      </c>
      <c r="V10" t="s">
        <v>50</v>
      </c>
      <c r="W10" t="s">
        <v>51</v>
      </c>
      <c r="X10" t="s">
        <v>52</v>
      </c>
      <c r="Y10" t="s">
        <v>92</v>
      </c>
      <c r="Z10" t="s">
        <v>93</v>
      </c>
      <c r="AA10" t="s">
        <v>83</v>
      </c>
      <c r="AB10" t="s">
        <v>84</v>
      </c>
      <c r="AC10" t="s">
        <v>57</v>
      </c>
      <c r="AD10">
        <v>24</v>
      </c>
      <c r="AE10">
        <v>2</v>
      </c>
      <c r="AF10" t="s">
        <v>58</v>
      </c>
      <c r="AG10" t="s">
        <v>59</v>
      </c>
      <c r="AH10" t="s">
        <v>58</v>
      </c>
      <c r="AI10" t="s">
        <v>60</v>
      </c>
      <c r="AJ10" t="s">
        <v>61</v>
      </c>
      <c r="AK10" t="s">
        <v>62</v>
      </c>
      <c r="AL10">
        <v>6320000</v>
      </c>
    </row>
    <row r="11" spans="1:40" x14ac:dyDescent="0.3">
      <c r="A11" t="s">
        <v>39</v>
      </c>
      <c r="B11" t="s">
        <v>39</v>
      </c>
      <c r="C11" t="s">
        <v>40</v>
      </c>
      <c r="D11" t="s">
        <v>41</v>
      </c>
      <c r="E11" t="s">
        <v>42</v>
      </c>
      <c r="F11" t="s">
        <v>43</v>
      </c>
      <c r="H11">
        <v>117906</v>
      </c>
      <c r="I11">
        <f>VLOOKUP(H11,Hoja2!A:A,1,0)</f>
        <v>117906</v>
      </c>
      <c r="K11" t="s">
        <v>266</v>
      </c>
      <c r="L11" t="s">
        <v>94</v>
      </c>
      <c r="M11" t="s">
        <v>47</v>
      </c>
      <c r="P11" t="s">
        <v>48</v>
      </c>
      <c r="Q11">
        <v>4541</v>
      </c>
      <c r="R11" s="1">
        <v>45727</v>
      </c>
      <c r="S11" s="1">
        <v>45743</v>
      </c>
      <c r="T11" t="s">
        <v>49</v>
      </c>
      <c r="U11" s="1">
        <v>45743</v>
      </c>
      <c r="V11" t="s">
        <v>72</v>
      </c>
      <c r="W11" t="s">
        <v>73</v>
      </c>
      <c r="X11" t="s">
        <v>74</v>
      </c>
      <c r="Y11" t="s">
        <v>95</v>
      </c>
      <c r="Z11" t="s">
        <v>96</v>
      </c>
      <c r="AA11" t="s">
        <v>83</v>
      </c>
      <c r="AB11" t="s">
        <v>84</v>
      </c>
      <c r="AC11" t="s">
        <v>57</v>
      </c>
      <c r="AD11">
        <v>25</v>
      </c>
      <c r="AE11">
        <v>2</v>
      </c>
      <c r="AF11" t="s">
        <v>58</v>
      </c>
      <c r="AG11" t="s">
        <v>59</v>
      </c>
      <c r="AH11" t="s">
        <v>58</v>
      </c>
      <c r="AI11" t="s">
        <v>60</v>
      </c>
      <c r="AJ11" t="s">
        <v>61</v>
      </c>
      <c r="AK11" t="s">
        <v>62</v>
      </c>
      <c r="AL11">
        <v>6320000</v>
      </c>
    </row>
    <row r="12" spans="1:40" x14ac:dyDescent="0.3">
      <c r="A12" t="s">
        <v>39</v>
      </c>
      <c r="B12" t="s">
        <v>39</v>
      </c>
      <c r="C12" t="s">
        <v>40</v>
      </c>
      <c r="D12" t="s">
        <v>41</v>
      </c>
      <c r="E12" t="s">
        <v>42</v>
      </c>
      <c r="F12" t="s">
        <v>43</v>
      </c>
      <c r="H12">
        <v>111115</v>
      </c>
      <c r="I12">
        <f>VLOOKUP(H12,Hoja2!A:A,1,0)</f>
        <v>111115</v>
      </c>
      <c r="J12" t="s">
        <v>97</v>
      </c>
      <c r="K12" t="s">
        <v>98</v>
      </c>
      <c r="L12" t="s">
        <v>99</v>
      </c>
      <c r="M12" t="s">
        <v>47</v>
      </c>
      <c r="P12" t="s">
        <v>48</v>
      </c>
      <c r="Q12">
        <v>7615</v>
      </c>
      <c r="R12" s="1">
        <v>44655</v>
      </c>
      <c r="S12" s="1">
        <v>44657</v>
      </c>
      <c r="T12" t="s">
        <v>49</v>
      </c>
      <c r="U12" s="1">
        <v>44700.758680555555</v>
      </c>
      <c r="V12" t="s">
        <v>100</v>
      </c>
      <c r="W12" t="s">
        <v>101</v>
      </c>
      <c r="X12" t="s">
        <v>102</v>
      </c>
      <c r="Y12" t="s">
        <v>75</v>
      </c>
      <c r="Z12" t="s">
        <v>103</v>
      </c>
      <c r="AA12" t="s">
        <v>83</v>
      </c>
      <c r="AB12" t="s">
        <v>84</v>
      </c>
      <c r="AC12" t="s">
        <v>57</v>
      </c>
      <c r="AD12">
        <v>24</v>
      </c>
      <c r="AE12">
        <v>2</v>
      </c>
      <c r="AF12" t="s">
        <v>58</v>
      </c>
      <c r="AG12" t="s">
        <v>59</v>
      </c>
      <c r="AH12" t="s">
        <v>85</v>
      </c>
      <c r="AI12" t="s">
        <v>60</v>
      </c>
      <c r="AJ12" t="s">
        <v>61</v>
      </c>
      <c r="AK12" t="s">
        <v>62</v>
      </c>
      <c r="AL12">
        <v>6320000</v>
      </c>
    </row>
    <row r="13" spans="1:40" x14ac:dyDescent="0.3">
      <c r="A13" t="s">
        <v>39</v>
      </c>
      <c r="B13" t="s">
        <v>39</v>
      </c>
      <c r="C13" t="s">
        <v>40</v>
      </c>
      <c r="D13" t="s">
        <v>41</v>
      </c>
      <c r="E13" t="s">
        <v>42</v>
      </c>
      <c r="F13" t="s">
        <v>43</v>
      </c>
      <c r="H13">
        <v>107960</v>
      </c>
      <c r="I13">
        <f>VLOOKUP(H13,Hoja2!A:A,1,0)</f>
        <v>107960</v>
      </c>
      <c r="J13" t="s">
        <v>104</v>
      </c>
      <c r="K13" t="s">
        <v>105</v>
      </c>
      <c r="L13" t="s">
        <v>106</v>
      </c>
      <c r="M13" t="s">
        <v>47</v>
      </c>
      <c r="P13" t="s">
        <v>48</v>
      </c>
      <c r="Q13">
        <v>4252</v>
      </c>
      <c r="R13" s="1">
        <v>43580</v>
      </c>
      <c r="S13" s="1">
        <v>43580</v>
      </c>
      <c r="T13" t="s">
        <v>49</v>
      </c>
      <c r="U13" s="1">
        <v>43598.472673611112</v>
      </c>
      <c r="V13" t="s">
        <v>80</v>
      </c>
      <c r="W13" t="s">
        <v>80</v>
      </c>
      <c r="X13" t="s">
        <v>107</v>
      </c>
      <c r="Y13" t="s">
        <v>75</v>
      </c>
      <c r="Z13" t="s">
        <v>82</v>
      </c>
      <c r="AA13" t="s">
        <v>83</v>
      </c>
      <c r="AB13" t="s">
        <v>84</v>
      </c>
      <c r="AC13" t="s">
        <v>57</v>
      </c>
      <c r="AD13">
        <v>24</v>
      </c>
      <c r="AE13">
        <v>2</v>
      </c>
      <c r="AF13" t="s">
        <v>58</v>
      </c>
      <c r="AG13" t="s">
        <v>59</v>
      </c>
      <c r="AH13" t="s">
        <v>58</v>
      </c>
      <c r="AI13" t="s">
        <v>60</v>
      </c>
      <c r="AJ13" t="s">
        <v>61</v>
      </c>
      <c r="AK13" t="s">
        <v>62</v>
      </c>
      <c r="AL13">
        <v>6320000</v>
      </c>
    </row>
    <row r="14" spans="1:40" x14ac:dyDescent="0.3">
      <c r="A14" t="s">
        <v>39</v>
      </c>
      <c r="B14" t="s">
        <v>39</v>
      </c>
      <c r="C14" t="s">
        <v>40</v>
      </c>
      <c r="D14" t="s">
        <v>41</v>
      </c>
      <c r="E14" t="s">
        <v>42</v>
      </c>
      <c r="F14" t="s">
        <v>43</v>
      </c>
      <c r="H14">
        <v>116300</v>
      </c>
      <c r="I14">
        <f>VLOOKUP(H14,Hoja2!A:A,1,0)</f>
        <v>116300</v>
      </c>
      <c r="K14" t="s">
        <v>267</v>
      </c>
      <c r="L14" t="s">
        <v>108</v>
      </c>
      <c r="M14" t="s">
        <v>47</v>
      </c>
      <c r="P14" t="s">
        <v>48</v>
      </c>
      <c r="Q14">
        <v>23148</v>
      </c>
      <c r="R14" s="1">
        <v>45259</v>
      </c>
      <c r="S14" s="1">
        <v>45266</v>
      </c>
      <c r="T14" t="s">
        <v>49</v>
      </c>
      <c r="U14" s="1">
        <v>45266</v>
      </c>
      <c r="V14" t="s">
        <v>109</v>
      </c>
      <c r="W14" t="s">
        <v>109</v>
      </c>
      <c r="X14" t="s">
        <v>110</v>
      </c>
      <c r="Y14" t="s">
        <v>92</v>
      </c>
      <c r="Z14" t="s">
        <v>93</v>
      </c>
      <c r="AA14" t="s">
        <v>83</v>
      </c>
      <c r="AB14" t="s">
        <v>84</v>
      </c>
      <c r="AC14" t="s">
        <v>57</v>
      </c>
      <c r="AD14">
        <v>24</v>
      </c>
      <c r="AE14">
        <v>2</v>
      </c>
      <c r="AF14" t="s">
        <v>58</v>
      </c>
      <c r="AG14" t="s">
        <v>59</v>
      </c>
      <c r="AH14" t="s">
        <v>58</v>
      </c>
      <c r="AI14" t="s">
        <v>60</v>
      </c>
      <c r="AJ14" t="s">
        <v>61</v>
      </c>
      <c r="AK14" t="s">
        <v>62</v>
      </c>
      <c r="AL14">
        <v>6320000</v>
      </c>
    </row>
    <row r="15" spans="1:40" x14ac:dyDescent="0.3">
      <c r="A15" t="s">
        <v>39</v>
      </c>
      <c r="B15" t="s">
        <v>39</v>
      </c>
      <c r="C15" t="s">
        <v>40</v>
      </c>
      <c r="D15" t="s">
        <v>41</v>
      </c>
      <c r="E15" t="s">
        <v>42</v>
      </c>
      <c r="F15" t="s">
        <v>43</v>
      </c>
      <c r="H15">
        <v>116232</v>
      </c>
      <c r="I15">
        <f>VLOOKUP(H15,Hoja2!A:A,1,0)</f>
        <v>116232</v>
      </c>
      <c r="K15" t="s">
        <v>165</v>
      </c>
      <c r="L15" t="s">
        <v>111</v>
      </c>
      <c r="M15" t="s">
        <v>47</v>
      </c>
      <c r="P15" t="s">
        <v>48</v>
      </c>
      <c r="Q15">
        <v>21298</v>
      </c>
      <c r="R15" s="1">
        <v>45240</v>
      </c>
      <c r="S15" s="1">
        <v>45244</v>
      </c>
      <c r="T15" t="s">
        <v>49</v>
      </c>
      <c r="U15" s="1">
        <v>45244</v>
      </c>
      <c r="V15" t="s">
        <v>80</v>
      </c>
      <c r="W15" t="s">
        <v>80</v>
      </c>
      <c r="X15" t="s">
        <v>107</v>
      </c>
      <c r="Y15" t="s">
        <v>92</v>
      </c>
      <c r="Z15" t="s">
        <v>93</v>
      </c>
      <c r="AA15" t="s">
        <v>55</v>
      </c>
      <c r="AB15" t="s">
        <v>56</v>
      </c>
      <c r="AC15" t="s">
        <v>57</v>
      </c>
      <c r="AD15">
        <v>144</v>
      </c>
      <c r="AE15">
        <v>9</v>
      </c>
      <c r="AF15" t="s">
        <v>58</v>
      </c>
      <c r="AG15" t="s">
        <v>59</v>
      </c>
      <c r="AH15" t="s">
        <v>58</v>
      </c>
      <c r="AI15" t="s">
        <v>60</v>
      </c>
      <c r="AJ15" t="s">
        <v>61</v>
      </c>
      <c r="AK15" t="s">
        <v>62</v>
      </c>
      <c r="AL15">
        <v>2765000</v>
      </c>
    </row>
    <row r="16" spans="1:40" x14ac:dyDescent="0.3">
      <c r="A16" t="s">
        <v>39</v>
      </c>
      <c r="B16" t="s">
        <v>39</v>
      </c>
      <c r="C16" t="s">
        <v>40</v>
      </c>
      <c r="D16" t="s">
        <v>41</v>
      </c>
      <c r="E16" t="s">
        <v>42</v>
      </c>
      <c r="F16" t="s">
        <v>43</v>
      </c>
      <c r="H16">
        <v>117540</v>
      </c>
      <c r="I16">
        <f>VLOOKUP(H16,Hoja2!A:A,1,0)</f>
        <v>117540</v>
      </c>
      <c r="K16" t="s">
        <v>164</v>
      </c>
      <c r="L16" t="s">
        <v>112</v>
      </c>
      <c r="M16" t="s">
        <v>47</v>
      </c>
      <c r="P16" t="s">
        <v>48</v>
      </c>
      <c r="Q16">
        <v>12084</v>
      </c>
      <c r="R16" s="1">
        <v>45492</v>
      </c>
      <c r="S16" s="1">
        <v>45495</v>
      </c>
      <c r="T16" t="s">
        <v>49</v>
      </c>
      <c r="U16" s="1">
        <v>45495</v>
      </c>
      <c r="V16" t="s">
        <v>100</v>
      </c>
      <c r="W16" t="s">
        <v>113</v>
      </c>
      <c r="X16" t="s">
        <v>113</v>
      </c>
      <c r="Y16" t="s">
        <v>92</v>
      </c>
      <c r="Z16" t="s">
        <v>93</v>
      </c>
      <c r="AA16" t="s">
        <v>55</v>
      </c>
      <c r="AB16" t="s">
        <v>56</v>
      </c>
      <c r="AC16" t="s">
        <v>57</v>
      </c>
      <c r="AD16">
        <v>143</v>
      </c>
      <c r="AE16">
        <v>8</v>
      </c>
      <c r="AF16" t="s">
        <v>114</v>
      </c>
      <c r="AG16" t="s">
        <v>59</v>
      </c>
      <c r="AH16" t="s">
        <v>58</v>
      </c>
      <c r="AI16" t="s">
        <v>60</v>
      </c>
      <c r="AJ16" t="s">
        <v>61</v>
      </c>
      <c r="AK16" t="s">
        <v>62</v>
      </c>
      <c r="AL16">
        <v>2765000</v>
      </c>
    </row>
    <row r="17" spans="1:38" x14ac:dyDescent="0.3">
      <c r="A17" t="s">
        <v>39</v>
      </c>
      <c r="B17" t="s">
        <v>39</v>
      </c>
      <c r="C17" t="s">
        <v>40</v>
      </c>
      <c r="D17" t="s">
        <v>41</v>
      </c>
      <c r="E17" t="s">
        <v>42</v>
      </c>
      <c r="F17" t="s">
        <v>43</v>
      </c>
      <c r="H17">
        <v>109615</v>
      </c>
      <c r="I17">
        <f>VLOOKUP(H17,Hoja2!A:A,1,0)</f>
        <v>109615</v>
      </c>
      <c r="J17" t="s">
        <v>115</v>
      </c>
      <c r="K17" t="s">
        <v>116</v>
      </c>
      <c r="L17" t="s">
        <v>117</v>
      </c>
      <c r="M17" t="s">
        <v>47</v>
      </c>
      <c r="P17" t="s">
        <v>48</v>
      </c>
      <c r="Q17">
        <v>7154</v>
      </c>
      <c r="R17" s="1">
        <v>43963</v>
      </c>
      <c r="S17" s="1">
        <v>44153</v>
      </c>
      <c r="T17" t="s">
        <v>49</v>
      </c>
      <c r="U17" s="1">
        <v>44153</v>
      </c>
      <c r="V17" t="s">
        <v>100</v>
      </c>
      <c r="W17" t="s">
        <v>118</v>
      </c>
      <c r="X17" t="s">
        <v>119</v>
      </c>
      <c r="Y17" t="s">
        <v>75</v>
      </c>
      <c r="Z17" t="s">
        <v>120</v>
      </c>
      <c r="AA17" t="s">
        <v>55</v>
      </c>
      <c r="AB17" t="s">
        <v>56</v>
      </c>
      <c r="AC17" t="s">
        <v>57</v>
      </c>
      <c r="AD17">
        <v>158</v>
      </c>
      <c r="AE17">
        <v>9</v>
      </c>
      <c r="AF17" t="s">
        <v>58</v>
      </c>
      <c r="AG17" t="s">
        <v>59</v>
      </c>
      <c r="AH17" t="s">
        <v>58</v>
      </c>
      <c r="AI17" t="s">
        <v>60</v>
      </c>
      <c r="AJ17" t="s">
        <v>61</v>
      </c>
      <c r="AK17" t="s">
        <v>62</v>
      </c>
      <c r="AL17">
        <v>2765000</v>
      </c>
    </row>
    <row r="18" spans="1:38" x14ac:dyDescent="0.3">
      <c r="A18" t="s">
        <v>39</v>
      </c>
      <c r="B18" t="s">
        <v>39</v>
      </c>
      <c r="C18" t="s">
        <v>40</v>
      </c>
      <c r="D18" t="s">
        <v>41</v>
      </c>
      <c r="E18" t="s">
        <v>42</v>
      </c>
      <c r="F18" t="s">
        <v>43</v>
      </c>
      <c r="H18">
        <v>116510</v>
      </c>
      <c r="I18">
        <f>VLOOKUP(H18,Hoja2!A:A,1,0)</f>
        <v>116510</v>
      </c>
      <c r="K18" t="s">
        <v>161</v>
      </c>
      <c r="L18" t="s">
        <v>121</v>
      </c>
      <c r="M18" t="s">
        <v>47</v>
      </c>
      <c r="P18" t="s">
        <v>48</v>
      </c>
      <c r="Q18">
        <v>25371</v>
      </c>
      <c r="R18" s="1">
        <v>45281</v>
      </c>
      <c r="S18" s="1">
        <v>45301</v>
      </c>
      <c r="T18" t="s">
        <v>49</v>
      </c>
      <c r="U18" s="1">
        <v>45301</v>
      </c>
      <c r="V18" t="s">
        <v>109</v>
      </c>
      <c r="W18" t="s">
        <v>109</v>
      </c>
      <c r="X18" t="s">
        <v>122</v>
      </c>
      <c r="Y18" t="s">
        <v>92</v>
      </c>
      <c r="Z18" t="s">
        <v>93</v>
      </c>
      <c r="AA18" t="s">
        <v>55</v>
      </c>
      <c r="AB18" t="s">
        <v>56</v>
      </c>
      <c r="AC18" t="s">
        <v>57</v>
      </c>
      <c r="AD18">
        <v>144</v>
      </c>
      <c r="AE18">
        <v>8</v>
      </c>
      <c r="AF18" t="s">
        <v>58</v>
      </c>
      <c r="AG18" t="s">
        <v>59</v>
      </c>
      <c r="AH18" t="s">
        <v>58</v>
      </c>
      <c r="AI18" t="s">
        <v>60</v>
      </c>
      <c r="AJ18" t="s">
        <v>61</v>
      </c>
      <c r="AK18" t="s">
        <v>62</v>
      </c>
      <c r="AL18">
        <v>2765000</v>
      </c>
    </row>
    <row r="19" spans="1:38" x14ac:dyDescent="0.3">
      <c r="A19" t="s">
        <v>39</v>
      </c>
      <c r="B19" t="s">
        <v>39</v>
      </c>
      <c r="C19" t="s">
        <v>40</v>
      </c>
      <c r="D19" t="s">
        <v>41</v>
      </c>
      <c r="E19" t="s">
        <v>42</v>
      </c>
      <c r="F19" t="s">
        <v>43</v>
      </c>
      <c r="H19">
        <v>108269</v>
      </c>
      <c r="I19">
        <f>VLOOKUP(H19,Hoja2!A:A,1,0)</f>
        <v>108269</v>
      </c>
      <c r="J19" t="s">
        <v>123</v>
      </c>
      <c r="K19" t="s">
        <v>124</v>
      </c>
      <c r="L19" t="s">
        <v>125</v>
      </c>
      <c r="M19" t="s">
        <v>47</v>
      </c>
      <c r="P19" t="s">
        <v>48</v>
      </c>
      <c r="Q19">
        <v>9134</v>
      </c>
      <c r="R19" s="1">
        <v>43706</v>
      </c>
      <c r="S19" s="1">
        <v>43706</v>
      </c>
      <c r="T19" t="s">
        <v>49</v>
      </c>
      <c r="U19" s="1">
        <v>43706</v>
      </c>
      <c r="V19" t="s">
        <v>50</v>
      </c>
      <c r="W19" t="s">
        <v>51</v>
      </c>
      <c r="X19" t="s">
        <v>126</v>
      </c>
      <c r="Y19" t="s">
        <v>127</v>
      </c>
      <c r="Z19" t="s">
        <v>128</v>
      </c>
      <c r="AA19" t="s">
        <v>55</v>
      </c>
      <c r="AB19" t="s">
        <v>56</v>
      </c>
      <c r="AC19" t="s">
        <v>57</v>
      </c>
      <c r="AD19">
        <v>141</v>
      </c>
      <c r="AE19">
        <v>8</v>
      </c>
      <c r="AF19" t="s">
        <v>58</v>
      </c>
      <c r="AG19" t="s">
        <v>59</v>
      </c>
      <c r="AH19" t="s">
        <v>58</v>
      </c>
      <c r="AI19" t="s">
        <v>60</v>
      </c>
      <c r="AJ19" t="s">
        <v>61</v>
      </c>
      <c r="AK19" t="s">
        <v>62</v>
      </c>
      <c r="AL19">
        <v>2765000</v>
      </c>
    </row>
    <row r="20" spans="1:38" x14ac:dyDescent="0.3">
      <c r="A20" t="s">
        <v>39</v>
      </c>
      <c r="B20" t="s">
        <v>39</v>
      </c>
      <c r="C20" t="s">
        <v>40</v>
      </c>
      <c r="D20" t="s">
        <v>41</v>
      </c>
      <c r="E20" t="s">
        <v>42</v>
      </c>
      <c r="F20" t="s">
        <v>43</v>
      </c>
      <c r="H20">
        <v>109852</v>
      </c>
      <c r="I20">
        <f>VLOOKUP(H20,Hoja2!A:A,1,0)</f>
        <v>109852</v>
      </c>
      <c r="J20" t="s">
        <v>129</v>
      </c>
      <c r="K20" t="s">
        <v>130</v>
      </c>
      <c r="L20" t="s">
        <v>131</v>
      </c>
      <c r="M20" t="s">
        <v>47</v>
      </c>
      <c r="P20" t="s">
        <v>48</v>
      </c>
      <c r="Q20">
        <v>1720</v>
      </c>
      <c r="R20" s="1">
        <v>44231</v>
      </c>
      <c r="S20" s="1">
        <v>44235</v>
      </c>
      <c r="T20" t="s">
        <v>49</v>
      </c>
      <c r="U20" s="1">
        <v>44257.769548611112</v>
      </c>
      <c r="V20" t="s">
        <v>89</v>
      </c>
      <c r="W20" t="s">
        <v>132</v>
      </c>
      <c r="X20" t="s">
        <v>133</v>
      </c>
      <c r="Y20" t="s">
        <v>134</v>
      </c>
      <c r="Z20" t="s">
        <v>135</v>
      </c>
      <c r="AA20" t="s">
        <v>55</v>
      </c>
      <c r="AB20" t="s">
        <v>136</v>
      </c>
      <c r="AC20" t="s">
        <v>57</v>
      </c>
      <c r="AD20">
        <v>91</v>
      </c>
      <c r="AE20">
        <v>6</v>
      </c>
      <c r="AF20" t="s">
        <v>58</v>
      </c>
      <c r="AG20" t="s">
        <v>59</v>
      </c>
      <c r="AH20" t="s">
        <v>137</v>
      </c>
      <c r="AI20" t="s">
        <v>60</v>
      </c>
      <c r="AJ20" t="s">
        <v>61</v>
      </c>
      <c r="AK20" t="s">
        <v>62</v>
      </c>
      <c r="AL20">
        <v>2765000</v>
      </c>
    </row>
    <row r="21" spans="1:38" x14ac:dyDescent="0.3">
      <c r="A21" t="s">
        <v>39</v>
      </c>
      <c r="B21" t="s">
        <v>39</v>
      </c>
      <c r="C21" t="s">
        <v>40</v>
      </c>
      <c r="D21" t="s">
        <v>41</v>
      </c>
      <c r="E21" t="s">
        <v>42</v>
      </c>
      <c r="F21" t="s">
        <v>43</v>
      </c>
      <c r="H21">
        <v>107611</v>
      </c>
      <c r="I21">
        <f>VLOOKUP(H21,Hoja2!A:A,1,0)</f>
        <v>107611</v>
      </c>
      <c r="J21" t="s">
        <v>138</v>
      </c>
      <c r="K21" t="s">
        <v>139</v>
      </c>
      <c r="L21" t="s">
        <v>140</v>
      </c>
      <c r="M21" t="s">
        <v>47</v>
      </c>
      <c r="P21" t="s">
        <v>48</v>
      </c>
      <c r="Q21">
        <v>9132</v>
      </c>
      <c r="R21" s="1">
        <v>46113</v>
      </c>
      <c r="S21" s="1">
        <v>46134</v>
      </c>
      <c r="T21" t="s">
        <v>49</v>
      </c>
      <c r="U21" s="1">
        <v>46134</v>
      </c>
      <c r="V21" t="s">
        <v>80</v>
      </c>
      <c r="W21" t="s">
        <v>80</v>
      </c>
      <c r="X21" t="s">
        <v>107</v>
      </c>
      <c r="Y21" t="s">
        <v>75</v>
      </c>
      <c r="Z21" t="s">
        <v>82</v>
      </c>
      <c r="AA21" t="s">
        <v>55</v>
      </c>
      <c r="AB21" t="s">
        <v>136</v>
      </c>
      <c r="AC21" t="s">
        <v>57</v>
      </c>
      <c r="AD21">
        <v>102</v>
      </c>
      <c r="AE21">
        <v>6</v>
      </c>
      <c r="AF21" t="s">
        <v>58</v>
      </c>
      <c r="AG21" t="s">
        <v>59</v>
      </c>
      <c r="AH21" t="s">
        <v>58</v>
      </c>
      <c r="AI21" t="s">
        <v>60</v>
      </c>
      <c r="AJ21" t="s">
        <v>61</v>
      </c>
      <c r="AK21" t="s">
        <v>62</v>
      </c>
      <c r="AL21">
        <v>2765000</v>
      </c>
    </row>
    <row r="22" spans="1:38" x14ac:dyDescent="0.3">
      <c r="A22" t="s">
        <v>39</v>
      </c>
      <c r="B22" t="s">
        <v>39</v>
      </c>
      <c r="C22" t="s">
        <v>40</v>
      </c>
      <c r="D22" t="s">
        <v>41</v>
      </c>
      <c r="E22" t="s">
        <v>42</v>
      </c>
      <c r="F22" t="s">
        <v>43</v>
      </c>
      <c r="H22">
        <v>117095</v>
      </c>
      <c r="I22">
        <f>VLOOKUP(H22,Hoja2!A:A,1,0)</f>
        <v>117095</v>
      </c>
      <c r="K22" t="s">
        <v>166</v>
      </c>
      <c r="L22" t="s">
        <v>141</v>
      </c>
      <c r="M22" t="s">
        <v>47</v>
      </c>
      <c r="P22" t="s">
        <v>48</v>
      </c>
      <c r="Q22">
        <v>11404</v>
      </c>
      <c r="R22" s="1">
        <v>45489</v>
      </c>
      <c r="S22" s="1">
        <v>45505</v>
      </c>
      <c r="T22" t="s">
        <v>49</v>
      </c>
      <c r="U22" s="1">
        <v>45505</v>
      </c>
      <c r="V22" t="s">
        <v>50</v>
      </c>
      <c r="W22" t="s">
        <v>51</v>
      </c>
      <c r="X22" t="s">
        <v>52</v>
      </c>
      <c r="Y22" t="s">
        <v>92</v>
      </c>
      <c r="Z22" t="s">
        <v>93</v>
      </c>
      <c r="AA22" t="s">
        <v>55</v>
      </c>
      <c r="AB22" t="s">
        <v>136</v>
      </c>
      <c r="AC22" t="s">
        <v>57</v>
      </c>
      <c r="AD22">
        <v>99</v>
      </c>
      <c r="AE22">
        <v>6</v>
      </c>
      <c r="AF22" t="s">
        <v>58</v>
      </c>
      <c r="AG22" t="s">
        <v>59</v>
      </c>
      <c r="AH22" t="s">
        <v>58</v>
      </c>
      <c r="AI22" t="s">
        <v>60</v>
      </c>
      <c r="AJ22" t="s">
        <v>61</v>
      </c>
      <c r="AK22" t="s">
        <v>62</v>
      </c>
      <c r="AL22">
        <v>2765000</v>
      </c>
    </row>
    <row r="23" spans="1:38" x14ac:dyDescent="0.3">
      <c r="A23" t="s">
        <v>39</v>
      </c>
      <c r="B23" t="s">
        <v>39</v>
      </c>
      <c r="C23" t="s">
        <v>40</v>
      </c>
      <c r="D23" t="s">
        <v>41</v>
      </c>
      <c r="E23" t="s">
        <v>42</v>
      </c>
      <c r="F23" t="s">
        <v>43</v>
      </c>
      <c r="H23">
        <v>109194</v>
      </c>
      <c r="I23">
        <f>VLOOKUP(H23,Hoja2!A:A,1,0)</f>
        <v>109194</v>
      </c>
      <c r="J23" t="s">
        <v>142</v>
      </c>
      <c r="K23" t="s">
        <v>143</v>
      </c>
      <c r="L23" t="s">
        <v>144</v>
      </c>
      <c r="M23" t="s">
        <v>47</v>
      </c>
      <c r="P23" t="s">
        <v>48</v>
      </c>
      <c r="Q23">
        <v>15874</v>
      </c>
      <c r="R23" s="1">
        <v>43817</v>
      </c>
      <c r="S23" s="1">
        <v>43817</v>
      </c>
      <c r="T23" t="s">
        <v>49</v>
      </c>
      <c r="U23" s="1">
        <v>43879.645196759258</v>
      </c>
      <c r="V23" t="s">
        <v>100</v>
      </c>
      <c r="W23" t="s">
        <v>145</v>
      </c>
      <c r="X23" t="s">
        <v>146</v>
      </c>
      <c r="Y23" t="s">
        <v>75</v>
      </c>
      <c r="Z23" t="s">
        <v>147</v>
      </c>
      <c r="AA23" t="s">
        <v>55</v>
      </c>
      <c r="AB23" t="s">
        <v>136</v>
      </c>
      <c r="AC23" t="s">
        <v>57</v>
      </c>
      <c r="AD23">
        <v>107</v>
      </c>
      <c r="AE23">
        <v>6</v>
      </c>
      <c r="AF23" t="s">
        <v>58</v>
      </c>
      <c r="AG23" t="s">
        <v>59</v>
      </c>
      <c r="AH23" t="s">
        <v>58</v>
      </c>
      <c r="AI23" t="s">
        <v>60</v>
      </c>
      <c r="AJ23" t="s">
        <v>61</v>
      </c>
      <c r="AK23" t="s">
        <v>62</v>
      </c>
      <c r="AL23">
        <v>2765000</v>
      </c>
    </row>
    <row r="24" spans="1:38" x14ac:dyDescent="0.3">
      <c r="A24" t="s">
        <v>39</v>
      </c>
      <c r="B24" t="s">
        <v>39</v>
      </c>
      <c r="C24" t="s">
        <v>40</v>
      </c>
      <c r="D24" t="s">
        <v>41</v>
      </c>
      <c r="E24" t="s">
        <v>42</v>
      </c>
      <c r="F24" t="s">
        <v>43</v>
      </c>
      <c r="H24">
        <v>110915</v>
      </c>
      <c r="I24">
        <f>VLOOKUP(H24,Hoja2!A:A,1,0)</f>
        <v>110915</v>
      </c>
      <c r="J24" t="s">
        <v>148</v>
      </c>
      <c r="K24" t="s">
        <v>149</v>
      </c>
      <c r="L24" t="s">
        <v>150</v>
      </c>
      <c r="M24" t="s">
        <v>47</v>
      </c>
      <c r="P24" t="s">
        <v>48</v>
      </c>
      <c r="Q24">
        <v>1133</v>
      </c>
      <c r="R24" s="1">
        <v>44595</v>
      </c>
      <c r="S24" s="1">
        <v>44601</v>
      </c>
      <c r="T24" t="s">
        <v>49</v>
      </c>
      <c r="U24" s="1">
        <v>44630.582488425927</v>
      </c>
      <c r="V24" t="s">
        <v>50</v>
      </c>
      <c r="W24" t="s">
        <v>51</v>
      </c>
      <c r="X24" t="s">
        <v>151</v>
      </c>
      <c r="Y24" t="s">
        <v>53</v>
      </c>
      <c r="Z24" t="s">
        <v>54</v>
      </c>
      <c r="AA24" t="s">
        <v>55</v>
      </c>
      <c r="AB24" t="s">
        <v>136</v>
      </c>
      <c r="AC24" t="s">
        <v>57</v>
      </c>
      <c r="AD24">
        <v>96</v>
      </c>
      <c r="AE24">
        <v>6</v>
      </c>
      <c r="AF24" t="s">
        <v>58</v>
      </c>
      <c r="AG24" t="s">
        <v>59</v>
      </c>
      <c r="AH24" t="s">
        <v>58</v>
      </c>
      <c r="AI24" t="s">
        <v>60</v>
      </c>
      <c r="AJ24" t="s">
        <v>61</v>
      </c>
      <c r="AK24" t="s">
        <v>62</v>
      </c>
      <c r="AL24">
        <v>2765000</v>
      </c>
    </row>
    <row r="25" spans="1:38" x14ac:dyDescent="0.3">
      <c r="A25" t="s">
        <v>39</v>
      </c>
      <c r="B25" t="s">
        <v>39</v>
      </c>
      <c r="C25" t="s">
        <v>40</v>
      </c>
      <c r="D25" t="s">
        <v>41</v>
      </c>
      <c r="E25" t="s">
        <v>42</v>
      </c>
      <c r="F25" t="s">
        <v>43</v>
      </c>
      <c r="H25">
        <v>116793</v>
      </c>
      <c r="I25">
        <f>VLOOKUP(H25,Hoja2!A:A,1,0)</f>
        <v>116793</v>
      </c>
      <c r="K25" t="s">
        <v>163</v>
      </c>
      <c r="L25" t="s">
        <v>152</v>
      </c>
      <c r="M25" t="s">
        <v>47</v>
      </c>
      <c r="P25" t="s">
        <v>48</v>
      </c>
      <c r="Q25">
        <v>3234</v>
      </c>
      <c r="R25" s="1">
        <v>45371</v>
      </c>
      <c r="S25" s="1">
        <v>45392</v>
      </c>
      <c r="T25" t="s">
        <v>49</v>
      </c>
      <c r="U25" s="1">
        <v>45392</v>
      </c>
      <c r="V25" t="s">
        <v>50</v>
      </c>
      <c r="W25" t="s">
        <v>51</v>
      </c>
      <c r="X25" t="s">
        <v>52</v>
      </c>
      <c r="Y25" t="s">
        <v>92</v>
      </c>
      <c r="Z25" t="s">
        <v>93</v>
      </c>
      <c r="AA25" t="s">
        <v>55</v>
      </c>
      <c r="AB25" t="s">
        <v>136</v>
      </c>
      <c r="AC25" t="s">
        <v>57</v>
      </c>
      <c r="AD25">
        <v>96</v>
      </c>
      <c r="AE25">
        <v>6</v>
      </c>
      <c r="AF25" t="s">
        <v>58</v>
      </c>
      <c r="AG25" t="s">
        <v>59</v>
      </c>
      <c r="AH25" t="s">
        <v>58</v>
      </c>
      <c r="AI25" t="s">
        <v>60</v>
      </c>
      <c r="AJ25" t="s">
        <v>61</v>
      </c>
      <c r="AK25" t="s">
        <v>62</v>
      </c>
      <c r="AL25">
        <v>2765000</v>
      </c>
    </row>
    <row r="26" spans="1:38" x14ac:dyDescent="0.3">
      <c r="A26" t="s">
        <v>39</v>
      </c>
      <c r="B26" t="s">
        <v>39</v>
      </c>
      <c r="C26" t="s">
        <v>40</v>
      </c>
      <c r="D26" t="s">
        <v>41</v>
      </c>
      <c r="E26" t="s">
        <v>42</v>
      </c>
      <c r="F26" t="s">
        <v>43</v>
      </c>
      <c r="H26">
        <v>109941</v>
      </c>
      <c r="I26">
        <f>VLOOKUP(H26,Hoja2!A:A,1,0)</f>
        <v>109941</v>
      </c>
      <c r="J26" t="s">
        <v>153</v>
      </c>
      <c r="K26" t="s">
        <v>154</v>
      </c>
      <c r="L26" t="s">
        <v>155</v>
      </c>
      <c r="M26" t="s">
        <v>47</v>
      </c>
      <c r="P26" t="s">
        <v>48</v>
      </c>
      <c r="Q26">
        <v>50937</v>
      </c>
      <c r="R26" s="1">
        <v>44279</v>
      </c>
      <c r="S26" s="1">
        <v>44281</v>
      </c>
      <c r="T26" t="s">
        <v>49</v>
      </c>
      <c r="U26" s="1">
        <v>44298.931296296294</v>
      </c>
      <c r="V26" t="s">
        <v>89</v>
      </c>
      <c r="W26" t="s">
        <v>132</v>
      </c>
      <c r="X26" t="s">
        <v>156</v>
      </c>
      <c r="Y26" t="s">
        <v>134</v>
      </c>
      <c r="Z26" t="s">
        <v>135</v>
      </c>
      <c r="AA26" t="s">
        <v>55</v>
      </c>
      <c r="AB26" t="s">
        <v>56</v>
      </c>
      <c r="AC26" t="s">
        <v>57</v>
      </c>
      <c r="AD26">
        <v>134</v>
      </c>
      <c r="AE26">
        <v>8</v>
      </c>
      <c r="AF26" t="s">
        <v>58</v>
      </c>
      <c r="AG26" t="s">
        <v>59</v>
      </c>
      <c r="AH26" t="s">
        <v>137</v>
      </c>
      <c r="AI26" t="s">
        <v>60</v>
      </c>
      <c r="AJ26" t="s">
        <v>61</v>
      </c>
      <c r="AK26" t="s">
        <v>62</v>
      </c>
      <c r="AL26">
        <v>2765000</v>
      </c>
    </row>
    <row r="28" spans="1:38" x14ac:dyDescent="0.3">
      <c r="A28" t="s">
        <v>157</v>
      </c>
      <c r="B28" t="s">
        <v>158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AEE42-82EC-4C07-863A-F24D793A8B67}">
  <dimension ref="A1:B35"/>
  <sheetViews>
    <sheetView workbookViewId="0">
      <selection activeCell="A35" sqref="A2:A35"/>
    </sheetView>
  </sheetViews>
  <sheetFormatPr baseColWidth="10" defaultRowHeight="14.4" x14ac:dyDescent="0.3"/>
  <cols>
    <col min="1" max="1" width="76.21875" customWidth="1"/>
  </cols>
  <sheetData>
    <row r="1" spans="1:2" x14ac:dyDescent="0.3">
      <c r="A1" s="2" t="s">
        <v>159</v>
      </c>
    </row>
    <row r="2" spans="1:2" x14ac:dyDescent="0.3">
      <c r="A2" t="s">
        <v>186</v>
      </c>
      <c r="B2" t="e">
        <f>VLOOKUP(Hoja2!E:E,1,0)</f>
        <v>#N/A</v>
      </c>
    </row>
    <row r="3" spans="1:2" x14ac:dyDescent="0.3">
      <c r="A3" t="s">
        <v>198</v>
      </c>
      <c r="B3" t="e">
        <f>VLOOKUP(Hoja2!E:E,1,0)</f>
        <v>#N/A</v>
      </c>
    </row>
    <row r="4" spans="1:2" x14ac:dyDescent="0.3">
      <c r="A4" t="s">
        <v>194</v>
      </c>
      <c r="B4" t="e">
        <f>VLOOKUP(Hoja2!E:E,1,0)</f>
        <v>#N/A</v>
      </c>
    </row>
    <row r="5" spans="1:2" x14ac:dyDescent="0.3">
      <c r="A5" t="s">
        <v>167</v>
      </c>
      <c r="B5" t="e">
        <f>VLOOKUP(Hoja2!E:E,1,0)</f>
        <v>#N/A</v>
      </c>
    </row>
    <row r="6" spans="1:2" x14ac:dyDescent="0.3">
      <c r="A6" t="s">
        <v>188</v>
      </c>
      <c r="B6" t="e">
        <f>VLOOKUP(Hoja2!E:E,1,0)</f>
        <v>#N/A</v>
      </c>
    </row>
    <row r="7" spans="1:2" x14ac:dyDescent="0.3">
      <c r="A7" t="s">
        <v>178</v>
      </c>
      <c r="B7" t="e">
        <f>VLOOKUP(Hoja2!E:E,1,0)</f>
        <v>#N/A</v>
      </c>
    </row>
    <row r="8" spans="1:2" x14ac:dyDescent="0.3">
      <c r="A8" t="s">
        <v>195</v>
      </c>
      <c r="B8" t="e">
        <f>VLOOKUP(Hoja2!E:E,1,0)</f>
        <v>#N/A</v>
      </c>
    </row>
    <row r="9" spans="1:2" x14ac:dyDescent="0.3">
      <c r="A9" t="s">
        <v>184</v>
      </c>
      <c r="B9" t="e">
        <f>VLOOKUP(Hoja2!E:E,1,0)</f>
        <v>#N/A</v>
      </c>
    </row>
    <row r="10" spans="1:2" x14ac:dyDescent="0.3">
      <c r="A10" t="s">
        <v>199</v>
      </c>
      <c r="B10" t="e">
        <f>VLOOKUP(Hoja2!E:E,1,0)</f>
        <v>#N/A</v>
      </c>
    </row>
    <row r="11" spans="1:2" x14ac:dyDescent="0.3">
      <c r="A11" t="s">
        <v>192</v>
      </c>
      <c r="B11" t="e">
        <f>VLOOKUP(Hoja2!E:E,1,0)</f>
        <v>#N/A</v>
      </c>
    </row>
    <row r="12" spans="1:2" x14ac:dyDescent="0.3">
      <c r="A12" t="s">
        <v>187</v>
      </c>
      <c r="B12" t="e">
        <f>VLOOKUP(Hoja2!E:E,1,0)</f>
        <v>#N/A</v>
      </c>
    </row>
    <row r="13" spans="1:2" x14ac:dyDescent="0.3">
      <c r="A13" t="s">
        <v>193</v>
      </c>
      <c r="B13" t="e">
        <f>VLOOKUP(Hoja2!E:E,1,0)</f>
        <v>#N/A</v>
      </c>
    </row>
    <row r="14" spans="1:2" x14ac:dyDescent="0.3">
      <c r="A14" t="s">
        <v>191</v>
      </c>
      <c r="B14" t="e">
        <f>VLOOKUP(Hoja2!E:E,1,0)</f>
        <v>#N/A</v>
      </c>
    </row>
    <row r="15" spans="1:2" x14ac:dyDescent="0.3">
      <c r="A15" t="s">
        <v>189</v>
      </c>
      <c r="B15" t="e">
        <f>VLOOKUP(Hoja2!E:E,1,0)</f>
        <v>#N/A</v>
      </c>
    </row>
    <row r="16" spans="1:2" x14ac:dyDescent="0.3">
      <c r="A16" t="s">
        <v>181</v>
      </c>
      <c r="B16" t="e">
        <f>VLOOKUP(Hoja2!E:E,1,0)</f>
        <v>#N/A</v>
      </c>
    </row>
    <row r="17" spans="1:2" x14ac:dyDescent="0.3">
      <c r="A17" t="s">
        <v>190</v>
      </c>
      <c r="B17" t="e">
        <f>VLOOKUP(Hoja2!E:E,1,0)</f>
        <v>#N/A</v>
      </c>
    </row>
    <row r="18" spans="1:2" x14ac:dyDescent="0.3">
      <c r="A18" t="s">
        <v>183</v>
      </c>
      <c r="B18" t="e">
        <f>VLOOKUP(Hoja2!E:E,1,0)</f>
        <v>#N/A</v>
      </c>
    </row>
    <row r="19" spans="1:2" x14ac:dyDescent="0.3">
      <c r="A19" t="s">
        <v>176</v>
      </c>
      <c r="B19" t="e">
        <f>VLOOKUP(Hoja2!E:E,1,0)</f>
        <v>#N/A</v>
      </c>
    </row>
    <row r="20" spans="1:2" x14ac:dyDescent="0.3">
      <c r="A20" t="s">
        <v>196</v>
      </c>
      <c r="B20" t="e">
        <f>VLOOKUP(Hoja2!E:E,1,0)</f>
        <v>#N/A</v>
      </c>
    </row>
    <row r="21" spans="1:2" x14ac:dyDescent="0.3">
      <c r="A21" t="s">
        <v>182</v>
      </c>
      <c r="B21" t="e">
        <f>VLOOKUP(Hoja2!E:E,1,0)</f>
        <v>#N/A</v>
      </c>
    </row>
    <row r="22" spans="1:2" x14ac:dyDescent="0.3">
      <c r="A22" t="s">
        <v>197</v>
      </c>
      <c r="B22" t="e">
        <f>VLOOKUP(Hoja2!E:E,1,0)</f>
        <v>#N/A</v>
      </c>
    </row>
    <row r="23" spans="1:2" x14ac:dyDescent="0.3">
      <c r="A23" t="s">
        <v>185</v>
      </c>
      <c r="B23" t="e">
        <f>VLOOKUP(Hoja2!E:E,1,0)</f>
        <v>#N/A</v>
      </c>
    </row>
    <row r="24" spans="1:2" x14ac:dyDescent="0.3">
      <c r="A24" t="s">
        <v>169</v>
      </c>
      <c r="B24" t="e">
        <f>VLOOKUP(Hoja2!E:E,1,0)</f>
        <v>#N/A</v>
      </c>
    </row>
    <row r="25" spans="1:2" x14ac:dyDescent="0.3">
      <c r="A25" t="s">
        <v>200</v>
      </c>
      <c r="B25" t="e">
        <f>VLOOKUP(Hoja2!E:E,1,0)</f>
        <v>#N/A</v>
      </c>
    </row>
    <row r="26" spans="1:2" x14ac:dyDescent="0.3">
      <c r="A26" t="s">
        <v>170</v>
      </c>
      <c r="B26" t="e">
        <f>VLOOKUP(Hoja2!E:E,1,0)</f>
        <v>#N/A</v>
      </c>
    </row>
    <row r="27" spans="1:2" x14ac:dyDescent="0.3">
      <c r="A27" t="s">
        <v>175</v>
      </c>
      <c r="B27" t="e">
        <f>VLOOKUP(Hoja2!E:E,1,0)</f>
        <v>#N/A</v>
      </c>
    </row>
    <row r="28" spans="1:2" x14ac:dyDescent="0.3">
      <c r="A28" t="s">
        <v>171</v>
      </c>
      <c r="B28" t="e">
        <f>VLOOKUP(Hoja2!E:E,1,0)</f>
        <v>#N/A</v>
      </c>
    </row>
    <row r="29" spans="1:2" x14ac:dyDescent="0.3">
      <c r="A29" t="s">
        <v>172</v>
      </c>
      <c r="B29" t="e">
        <f>VLOOKUP(Hoja2!E:E,1,0)</f>
        <v>#N/A</v>
      </c>
    </row>
    <row r="30" spans="1:2" x14ac:dyDescent="0.3">
      <c r="A30" t="s">
        <v>160</v>
      </c>
      <c r="B30" t="e">
        <f>VLOOKUP(Hoja2!E:E,1,0)</f>
        <v>#N/A</v>
      </c>
    </row>
    <row r="31" spans="1:2" x14ac:dyDescent="0.3">
      <c r="A31" t="s">
        <v>179</v>
      </c>
      <c r="B31" t="e">
        <f>VLOOKUP(Hoja2!E:E,1,0)</f>
        <v>#N/A</v>
      </c>
    </row>
    <row r="32" spans="1:2" x14ac:dyDescent="0.3">
      <c r="A32" t="s">
        <v>177</v>
      </c>
      <c r="B32" t="e">
        <f>VLOOKUP(Hoja2!E:E,1,0)</f>
        <v>#N/A</v>
      </c>
    </row>
    <row r="33" spans="1:2" x14ac:dyDescent="0.3">
      <c r="A33" t="s">
        <v>180</v>
      </c>
      <c r="B33" t="e">
        <f>VLOOKUP(Hoja2!E:E,1,0)</f>
        <v>#N/A</v>
      </c>
    </row>
    <row r="34" spans="1:2" x14ac:dyDescent="0.3">
      <c r="A34" t="s">
        <v>174</v>
      </c>
      <c r="B34" t="e">
        <f>VLOOKUP(Hoja2!E:E,1,0)</f>
        <v>#N/A</v>
      </c>
    </row>
    <row r="35" spans="1:2" x14ac:dyDescent="0.3">
      <c r="A35" t="s">
        <v>173</v>
      </c>
      <c r="B35" t="e">
        <f>VLOOKUP(Hoja2!E:E,1,0)</f>
        <v>#N/A</v>
      </c>
    </row>
  </sheetData>
  <sortState xmlns:xlrd2="http://schemas.microsoft.com/office/spreadsheetml/2017/richdata2" ref="A2:A92469">
    <sortCondition ref="A2:A9246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Hoja2</vt:lpstr>
      <vt:lpstr>Hoja3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Ledys Correa Quintero</cp:lastModifiedBy>
  <dcterms:created xsi:type="dcterms:W3CDTF">2026-04-16T01:56:22Z</dcterms:created>
  <dcterms:modified xsi:type="dcterms:W3CDTF">2026-08-05T23:13:57Z</dcterms:modified>
</cp:coreProperties>
</file>